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HBER" sheetId="1" state="visible" r:id="rId1"/>
    <sheet xmlns:r="http://schemas.openxmlformats.org/officeDocument/2006/relationships" name="YARIŞMA BİLGİLERİ" sheetId="2" state="visible" r:id="rId2"/>
    <sheet xmlns:r="http://schemas.openxmlformats.org/officeDocument/2006/relationships" name="MİNİK A KIZLAR" sheetId="3" state="visible" r:id="rId3"/>
    <sheet xmlns:r="http://schemas.openxmlformats.org/officeDocument/2006/relationships" name="MİNİK A ERKEKLER" sheetId="4" state="visible" r:id="rId4"/>
    <sheet xmlns:r="http://schemas.openxmlformats.org/officeDocument/2006/relationships" name="MİNİK B KIZLAR" sheetId="5" state="visible" r:id="rId5"/>
    <sheet xmlns:r="http://schemas.openxmlformats.org/officeDocument/2006/relationships" name="MİNİK B ERKEKLER" sheetId="6" state="visible" r:id="rId6"/>
    <sheet xmlns:r="http://schemas.openxmlformats.org/officeDocument/2006/relationships" name="KÜÇÜK KIZLAR" sheetId="7" state="visible" r:id="rId7"/>
    <sheet xmlns:r="http://schemas.openxmlformats.org/officeDocument/2006/relationships" name="KÜÇÜK ERKEKLER" sheetId="8" state="visible" r:id="rId8"/>
    <sheet xmlns:r="http://schemas.openxmlformats.org/officeDocument/2006/relationships" name="YILDIZ KIZLAR" sheetId="9" state="visible" r:id="rId9"/>
    <sheet xmlns:r="http://schemas.openxmlformats.org/officeDocument/2006/relationships" name="YILDIZ ERKEKLER" sheetId="10" state="visible" r:id="rId10"/>
    <sheet xmlns:r="http://schemas.openxmlformats.org/officeDocument/2006/relationships" name="GENÇ KIZLAR" sheetId="11" state="visible" r:id="rId11"/>
    <sheet xmlns:r="http://schemas.openxmlformats.org/officeDocument/2006/relationships" name="GENÇ ERKEKLER" sheetId="12" state="visible" r:id="rId12"/>
    <sheet xmlns:r="http://schemas.openxmlformats.org/officeDocument/2006/relationships" name="TAKIM SIRALAMASI" sheetId="13" state="visible" r:id="rId13"/>
    <sheet xmlns:r="http://schemas.openxmlformats.org/officeDocument/2006/relationships" name="ALET FİNALLERİ" sheetId="14" state="visible" r:id="rId14"/>
    <sheet xmlns:r="http://schemas.openxmlformats.org/officeDocument/2006/relationships" name="ÇIKIŞ SIRASI" sheetId="15" state="visible" r:id="rId15"/>
  </sheets>
  <definedNames>
    <definedName name="_xlnm.Print_Titles" localSheetId="2">'MİNİK A KIZLAR'!$1:$5</definedName>
    <definedName name="_xlnm.Print_Titles" localSheetId="3">'MİNİK A ERKEKLER'!$1:$5</definedName>
    <definedName name="_xlnm.Print_Titles" localSheetId="4">'MİNİK B KIZLAR'!$1:$5</definedName>
    <definedName name="_xlnm.Print_Titles" localSheetId="5">'MİNİK B ERKEKLER'!$1:$5</definedName>
    <definedName name="_xlnm.Print_Titles" localSheetId="6">'KÜÇÜK KIZLAR'!$1:$5</definedName>
    <definedName name="_xlnm.Print_Titles" localSheetId="7">'KÜÇÜK ERKEKLER'!$1:$5</definedName>
    <definedName name="_xlnm.Print_Titles" localSheetId="8">'YILDIZ KIZLAR'!$1:$5</definedName>
    <definedName name="_xlnm.Print_Titles" localSheetId="9">'YILDIZ ERKEKLER'!$1:$5</definedName>
    <definedName name="_xlnm.Print_Titles" localSheetId="10">'GENÇ KIZLAR'!$1:$5</definedName>
    <definedName name="_xlnm.Print_Titles" localSheetId="11">'GENÇ ERKEKLER'!$1:$5</definedName>
    <definedName name="_xlnm.Print_Titles" localSheetId="12">'TAKIM SIRALAMASI'!$1:$2</definedName>
    <definedName name="_xlnm.Print_Titles" localSheetId="13">'ALET FİNALLERİ'!$1:$2</definedName>
    <definedName name="_xlnm.Print_Titles" localSheetId="14">'ÇIKIŞ SIRASI'!$1:$3</definedName>
  </definedNames>
  <calcPr calcId="124519" fullCalcOnLoad="1"/>
</workbook>
</file>

<file path=xl/styles.xml><?xml version="1.0" encoding="utf-8"?>
<styleSheet xmlns="http://schemas.openxmlformats.org/spreadsheetml/2006/main">
  <numFmts count="1">
    <numFmt numFmtId="164" formatCode="0.000"/>
  </numFmts>
  <fonts count="22">
    <font>
      <name val="Calibri"/>
      <family val="2"/>
      <color theme="1"/>
      <sz val="11"/>
      <scheme val="minor"/>
    </font>
    <font>
      <name val="Calibri"/>
      <b val="1"/>
      <color rgb="00FFFFFF"/>
      <sz val="15"/>
    </font>
    <font>
      <name val="Calibri"/>
      <i val="1"/>
      <color rgb="00444444"/>
      <sz val="10"/>
    </font>
    <font>
      <name val="Calibri"/>
      <b val="1"/>
      <color rgb="00000000"/>
      <sz val="10"/>
    </font>
    <font>
      <name val="Calibri"/>
      <color rgb="00000000"/>
      <sz val="10"/>
    </font>
    <font>
      <name val="Calibri"/>
      <b val="1"/>
      <color rgb="00000000"/>
      <sz val="12"/>
    </font>
    <font>
      <name val="Calibri"/>
      <b val="1"/>
      <color rgb="00000000"/>
      <sz val="11"/>
    </font>
    <font>
      <name val="Calibri"/>
      <b val="1"/>
      <color rgb="00FFFFFF"/>
      <sz val="14"/>
    </font>
    <font>
      <name val="Calibri"/>
      <i val="1"/>
      <color rgb="00666666"/>
      <sz val="11"/>
    </font>
    <font>
      <name val="Calibri"/>
      <i val="1"/>
      <color rgb="00555555"/>
      <sz val="9"/>
    </font>
    <font>
      <name val="Calibri"/>
      <b val="1"/>
      <color rgb="00FFFFFF"/>
      <sz val="10"/>
    </font>
    <font>
      <name val="Calibri"/>
      <b val="1"/>
      <color rgb="00FFFFFF"/>
      <sz val="9"/>
    </font>
    <font>
      <name val="Calibri"/>
      <i val="1"/>
      <color rgb="00444444"/>
      <sz val="8"/>
    </font>
    <font>
      <name val="Calibri"/>
      <color rgb="00888888"/>
      <sz val="9"/>
    </font>
    <font>
      <name val="Calibri"/>
      <color rgb="00000000"/>
      <sz val="9"/>
    </font>
    <font>
      <name val="Calibri"/>
      <b val="1"/>
      <i val="1"/>
      <color rgb="00777777"/>
      <sz val="9"/>
    </font>
    <font>
      <name val="Calibri"/>
      <b val="1"/>
      <color rgb="00FFFFFF"/>
      <sz val="11"/>
    </font>
    <font>
      <name val="Calibri"/>
      <i val="1"/>
      <color rgb="00444444"/>
      <sz val="9"/>
    </font>
    <font>
      <name val="Calibri"/>
      <color rgb="00888888"/>
      <sz val="8"/>
    </font>
    <font>
      <name val="Calibri"/>
      <b val="1"/>
      <color rgb="00444444"/>
      <sz val="9"/>
    </font>
    <font>
      <name val="Calibri"/>
      <color rgb="00777777"/>
      <sz val="9"/>
    </font>
    <font>
      <name val="Calibri"/>
      <color rgb="00444444"/>
      <sz val="9"/>
    </font>
  </fonts>
  <fills count="21">
    <fill>
      <patternFill/>
    </fill>
    <fill>
      <patternFill patternType="gray125"/>
    </fill>
    <fill>
      <patternFill patternType="solid">
        <fgColor rgb="001A237E"/>
      </patternFill>
    </fill>
    <fill>
      <patternFill patternType="solid">
        <fgColor rgb="00E8EAF6"/>
      </patternFill>
    </fill>
    <fill>
      <patternFill patternType="solid">
        <fgColor rgb="00E3F2FD"/>
      </patternFill>
    </fill>
    <fill>
      <patternFill patternType="solid">
        <fgColor rgb="00EDE7F6"/>
      </patternFill>
    </fill>
    <fill>
      <patternFill patternType="solid">
        <fgColor rgb="00FFF8E1"/>
      </patternFill>
    </fill>
    <fill>
      <patternFill patternType="solid">
        <fgColor rgb="00E8F5E9"/>
      </patternFill>
    </fill>
    <fill>
      <patternFill patternType="solid">
        <fgColor rgb="00FCE4EC"/>
      </patternFill>
    </fill>
    <fill>
      <patternFill patternType="solid">
        <fgColor rgb="00C2185B"/>
      </patternFill>
    </fill>
    <fill>
      <patternFill patternType="solid">
        <fgColor rgb="00ECEFF1"/>
      </patternFill>
    </fill>
    <fill>
      <patternFill patternType="solid">
        <fgColor rgb="00263238"/>
      </patternFill>
    </fill>
    <fill>
      <patternFill patternType="solid">
        <fgColor rgb="00FFFFFF"/>
      </patternFill>
    </fill>
    <fill>
      <patternFill patternType="solid">
        <fgColor rgb="00BBDEFB"/>
      </patternFill>
    </fill>
    <fill>
      <patternFill patternType="solid">
        <fgColor rgb="00C8E6C9"/>
      </patternFill>
    </fill>
    <fill>
      <patternFill patternType="solid">
        <fgColor rgb="00FFF9C4"/>
      </patternFill>
    </fill>
    <fill>
      <patternFill patternType="solid">
        <fgColor rgb="00F9FBE7"/>
      </patternFill>
    </fill>
    <fill>
      <patternFill patternType="solid">
        <fgColor rgb="001565C0"/>
      </patternFill>
    </fill>
    <fill>
      <patternFill patternType="solid">
        <fgColor rgb="00FFCDD2"/>
      </patternFill>
    </fill>
    <fill>
      <patternFill patternType="solid">
        <fgColor rgb="00F3E5F5"/>
      </patternFill>
    </fill>
    <fill>
      <patternFill patternType="solid">
        <fgColor rgb="00BF360C"/>
      </patternFill>
    </fill>
  </fills>
  <borders count="2">
    <border>
      <left/>
      <right/>
      <top/>
      <bottom/>
      <diagonal/>
    </border>
    <border>
      <left style="thin"/>
      <right style="thin"/>
      <top style="thin"/>
      <bottom style="thin"/>
    </border>
  </borders>
  <cellStyleXfs count="1">
    <xf numFmtId="0" fontId="0" fillId="0" borderId="0"/>
  </cellStyleXfs>
  <cellXfs count="7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0" borderId="0" applyAlignment="1" pivotButton="0" quotePrefix="0" xfId="0">
      <alignment horizontal="left" vertical="center"/>
    </xf>
    <xf numFmtId="0" fontId="5" fillId="4" borderId="0" pivotButton="0" quotePrefix="0" xfId="0"/>
    <xf numFmtId="0" fontId="5" fillId="4" borderId="0" applyAlignment="1" pivotButton="0" quotePrefix="0" xfId="0">
      <alignment horizontal="left" vertical="center"/>
    </xf>
    <xf numFmtId="0" fontId="5" fillId="5" borderId="0" pivotButton="0" quotePrefix="0" xfId="0"/>
    <xf numFmtId="0" fontId="5" fillId="5" borderId="0" applyAlignment="1" pivotButton="0" quotePrefix="0" xfId="0">
      <alignment horizontal="left" vertical="center"/>
    </xf>
    <xf numFmtId="0" fontId="5" fillId="6" borderId="0" pivotButton="0" quotePrefix="0" xfId="0"/>
    <xf numFmtId="0" fontId="5" fillId="6" borderId="0" applyAlignment="1" pivotButton="0" quotePrefix="0" xfId="0">
      <alignment horizontal="left" vertical="center"/>
    </xf>
    <xf numFmtId="0" fontId="6" fillId="6" borderId="0" pivotButton="0" quotePrefix="0" xfId="0"/>
    <xf numFmtId="0" fontId="6" fillId="6" borderId="0" applyAlignment="1" pivotButton="0" quotePrefix="0" xfId="0">
      <alignment horizontal="left" vertical="center"/>
    </xf>
    <xf numFmtId="0" fontId="5" fillId="7" borderId="0" pivotButton="0" quotePrefix="0" xfId="0"/>
    <xf numFmtId="0" fontId="5" fillId="7" borderId="0" applyAlignment="1" pivotButton="0" quotePrefix="0" xfId="0">
      <alignment horizontal="left" vertical="center"/>
    </xf>
    <xf numFmtId="0" fontId="3" fillId="8" borderId="0" pivotButton="0" quotePrefix="0" xfId="0"/>
    <xf numFmtId="0" fontId="4" fillId="8" borderId="0" applyAlignment="1" pivotButton="0" quotePrefix="0" xfId="0">
      <alignment horizontal="left" vertical="center"/>
    </xf>
    <xf numFmtId="0" fontId="3" fillId="4" borderId="0" pivotButton="0" quotePrefix="0" xfId="0"/>
    <xf numFmtId="0" fontId="4" fillId="4" borderId="0" applyAlignment="1" pivotButton="0" quotePrefix="0" xfId="0">
      <alignment horizontal="left" vertical="center"/>
    </xf>
    <xf numFmtId="0" fontId="7" fillId="2" borderId="0" applyAlignment="1" pivotButton="0" quotePrefix="0" xfId="0">
      <alignment horizontal="center" vertical="center"/>
    </xf>
    <xf numFmtId="0" fontId="6" fillId="3" borderId="1" applyAlignment="1" pivotButton="0" quotePrefix="0" xfId="0">
      <alignment horizontal="left" vertical="center"/>
    </xf>
    <xf numFmtId="0" fontId="8" fillId="0" borderId="1" applyAlignment="1" pivotButton="0" quotePrefix="0" xfId="0">
      <alignment horizontal="left" vertical="center"/>
    </xf>
    <xf numFmtId="0" fontId="1" fillId="9" borderId="0" applyAlignment="1" pivotButton="0" quotePrefix="0" xfId="0">
      <alignment horizontal="center" vertical="center"/>
    </xf>
    <xf numFmtId="0" fontId="9" fillId="10" borderId="0" applyAlignment="1" pivotButton="0" quotePrefix="0" xfId="0">
      <alignment horizontal="center" vertical="center"/>
    </xf>
    <xf numFmtId="0" fontId="0" fillId="9" borderId="1" pivotButton="0" quotePrefix="0" xfId="0"/>
    <xf numFmtId="0" fontId="10" fillId="9" borderId="1" applyAlignment="1" pivotButton="0" quotePrefix="0" xfId="0">
      <alignment horizontal="center" vertical="center"/>
    </xf>
    <xf numFmtId="0" fontId="11" fillId="9" borderId="0" applyAlignment="1" pivotButton="0" quotePrefix="0" xfId="0">
      <alignment horizontal="center" vertical="center"/>
    </xf>
    <xf numFmtId="0" fontId="11" fillId="11" borderId="1" applyAlignment="1" pivotButton="0" quotePrefix="0" xfId="0">
      <alignment horizontal="center" vertical="center" wrapText="1"/>
    </xf>
    <xf numFmtId="0" fontId="12" fillId="10" borderId="0" applyAlignment="1" pivotButton="0" quotePrefix="0" xfId="0">
      <alignment horizontal="center" vertical="center"/>
    </xf>
    <xf numFmtId="0" fontId="13" fillId="12" borderId="1" applyAlignment="1" pivotButton="0" quotePrefix="0" xfId="0">
      <alignment horizontal="center" vertical="center"/>
    </xf>
    <xf numFmtId="0" fontId="4" fillId="12" borderId="1" applyAlignment="1" pivotButton="0" quotePrefix="0" xfId="0">
      <alignment horizontal="left" vertical="center"/>
    </xf>
    <xf numFmtId="0" fontId="14" fillId="12" borderId="1" applyAlignment="1" pivotButton="0" quotePrefix="0" xfId="0">
      <alignment horizontal="left" vertical="center"/>
    </xf>
    <xf numFmtId="0" fontId="4" fillId="12" borderId="1" applyAlignment="1" pivotButton="0" quotePrefix="0" xfId="0">
      <alignment horizontal="center" vertical="center"/>
    </xf>
    <xf numFmtId="164" fontId="4" fillId="12" borderId="1" applyAlignment="1" pivotButton="0" quotePrefix="0" xfId="0">
      <alignment horizontal="center" vertical="center"/>
    </xf>
    <xf numFmtId="164" fontId="3" fillId="13" borderId="1" applyAlignment="1" pivotButton="0" quotePrefix="0" xfId="0">
      <alignment horizontal="center" vertical="center"/>
    </xf>
    <xf numFmtId="0" fontId="14" fillId="12" borderId="1" applyAlignment="1" pivotButton="0" quotePrefix="0" xfId="0">
      <alignment horizontal="center" vertical="center"/>
    </xf>
    <xf numFmtId="164" fontId="3" fillId="14" borderId="1" applyAlignment="1" pivotButton="0" quotePrefix="0" xfId="0">
      <alignment horizontal="center" vertical="center"/>
    </xf>
    <xf numFmtId="0" fontId="3" fillId="15" borderId="1" applyAlignment="1" pivotButton="0" quotePrefix="0" xfId="0">
      <alignment horizontal="center" vertical="center"/>
    </xf>
    <xf numFmtId="0" fontId="13" fillId="16" borderId="1" applyAlignment="1" pivotButton="0" quotePrefix="0" xfId="0">
      <alignment horizontal="center" vertical="center"/>
    </xf>
    <xf numFmtId="0" fontId="4" fillId="16" borderId="1" applyAlignment="1" pivotButton="0" quotePrefix="0" xfId="0">
      <alignment horizontal="left" vertical="center"/>
    </xf>
    <xf numFmtId="0" fontId="14" fillId="16" borderId="1" applyAlignment="1" pivotButton="0" quotePrefix="0" xfId="0">
      <alignment horizontal="left" vertical="center"/>
    </xf>
    <xf numFmtId="0" fontId="4" fillId="16" borderId="1" applyAlignment="1" pivotButton="0" quotePrefix="0" xfId="0">
      <alignment horizontal="center" vertical="center"/>
    </xf>
    <xf numFmtId="164" fontId="4" fillId="16" borderId="1" applyAlignment="1" pivotButton="0" quotePrefix="0" xfId="0">
      <alignment horizontal="center" vertical="center"/>
    </xf>
    <xf numFmtId="0" fontId="14" fillId="16" borderId="1" applyAlignment="1" pivotButton="0" quotePrefix="0" xfId="0">
      <alignment horizontal="center" vertical="center"/>
    </xf>
    <xf numFmtId="0" fontId="15" fillId="0" borderId="0" applyAlignment="1" pivotButton="0" quotePrefix="0" xfId="0">
      <alignment horizontal="right" vertical="center"/>
    </xf>
    <xf numFmtId="0" fontId="1" fillId="17" borderId="0" applyAlignment="1" pivotButton="0" quotePrefix="0" xfId="0">
      <alignment horizontal="center" vertical="center"/>
    </xf>
    <xf numFmtId="0" fontId="0" fillId="17" borderId="1" pivotButton="0" quotePrefix="0" xfId="0"/>
    <xf numFmtId="0" fontId="10" fillId="17" borderId="1" applyAlignment="1" pivotButton="0" quotePrefix="0" xfId="0">
      <alignment horizontal="center" vertical="center"/>
    </xf>
    <xf numFmtId="0" fontId="11" fillId="17" borderId="0" applyAlignment="1" pivotButton="0" quotePrefix="0" xfId="0">
      <alignment horizontal="center" vertical="center"/>
    </xf>
    <xf numFmtId="0" fontId="16" fillId="9" borderId="0" applyAlignment="1" pivotButton="0" quotePrefix="0" xfId="0">
      <alignment horizontal="center" vertical="center"/>
    </xf>
    <xf numFmtId="0" fontId="3" fillId="12" borderId="1" applyAlignment="1" pivotButton="0" quotePrefix="0" xfId="0">
      <alignment horizontal="left" vertical="center"/>
    </xf>
    <xf numFmtId="164" fontId="4" fillId="18" borderId="1" applyAlignment="1" pivotButton="0" quotePrefix="0" xfId="0">
      <alignment horizontal="center" vertical="center"/>
    </xf>
    <xf numFmtId="0" fontId="3" fillId="19" borderId="1" applyAlignment="1" pivotButton="0" quotePrefix="0" xfId="0">
      <alignment horizontal="left" vertical="center"/>
    </xf>
    <xf numFmtId="164" fontId="4" fillId="19" borderId="1" applyAlignment="1" pivotButton="0" quotePrefix="0" xfId="0">
      <alignment horizontal="center" vertical="center"/>
    </xf>
    <xf numFmtId="0" fontId="16" fillId="17" borderId="0" applyAlignment="1" pivotButton="0" quotePrefix="0" xfId="0">
      <alignment horizontal="center" vertical="center"/>
    </xf>
    <xf numFmtId="0" fontId="17" fillId="10" borderId="0" applyAlignment="1" pivotButton="0" quotePrefix="0" xfId="0">
      <alignment horizontal="center" vertical="center"/>
    </xf>
    <xf numFmtId="0" fontId="16" fillId="20" borderId="0" applyAlignment="1" pivotButton="0" quotePrefix="0" xfId="0">
      <alignment horizontal="center" vertical="center"/>
    </xf>
    <xf numFmtId="0" fontId="13" fillId="6" borderId="1" applyAlignment="1" pivotButton="0" quotePrefix="0" xfId="0">
      <alignment horizontal="center" vertical="center"/>
    </xf>
    <xf numFmtId="0" fontId="4" fillId="6" borderId="1" applyAlignment="1" pivotButton="0" quotePrefix="0" xfId="0">
      <alignment horizontal="left" vertical="center"/>
    </xf>
    <xf numFmtId="0" fontId="14" fillId="6" borderId="1" applyAlignment="1" pivotButton="0" quotePrefix="0" xfId="0">
      <alignment horizontal="left" vertical="center"/>
    </xf>
    <xf numFmtId="164" fontId="4" fillId="6" borderId="1" applyAlignment="1" pivotButton="0" quotePrefix="0" xfId="0">
      <alignment horizontal="center" vertical="center"/>
    </xf>
    <xf numFmtId="0" fontId="14" fillId="6" borderId="1" applyAlignment="1" pivotButton="0" quotePrefix="0" xfId="0">
      <alignment horizontal="center" vertical="center"/>
    </xf>
    <xf numFmtId="0" fontId="11" fillId="11" borderId="1" applyAlignment="1" pivotButton="0" quotePrefix="0" xfId="0">
      <alignment horizontal="center" vertical="center"/>
    </xf>
    <xf numFmtId="0" fontId="18" fillId="12" borderId="1" applyAlignment="1" pivotButton="0" quotePrefix="0" xfId="0">
      <alignment horizontal="center" vertical="center"/>
    </xf>
    <xf numFmtId="0" fontId="19" fillId="12" borderId="1" applyAlignment="1" pivotButton="0" quotePrefix="0" xfId="0">
      <alignment horizontal="center" vertical="center"/>
    </xf>
    <xf numFmtId="0" fontId="20" fillId="12" borderId="1" applyAlignment="1" pivotButton="0" quotePrefix="0" xfId="0">
      <alignment horizontal="center" vertical="center"/>
    </xf>
    <xf numFmtId="0" fontId="21" fillId="12" borderId="1" applyAlignment="1" pivotButton="0" quotePrefix="0" xfId="0">
      <alignment horizontal="center" vertical="center"/>
    </xf>
    <xf numFmtId="0" fontId="18" fillId="19" borderId="1" applyAlignment="1" pivotButton="0" quotePrefix="0" xfId="0">
      <alignment horizontal="center" vertical="center"/>
    </xf>
    <xf numFmtId="0" fontId="19" fillId="19" borderId="1" applyAlignment="1" pivotButton="0" quotePrefix="0" xfId="0">
      <alignment horizontal="center" vertical="center"/>
    </xf>
    <xf numFmtId="0" fontId="20" fillId="19" borderId="1" applyAlignment="1" pivotButton="0" quotePrefix="0" xfId="0">
      <alignment horizontal="center" vertical="center"/>
    </xf>
    <xf numFmtId="0" fontId="4" fillId="19" borderId="1" applyAlignment="1" pivotButton="0" quotePrefix="0" xfId="0">
      <alignment horizontal="left" vertical="center"/>
    </xf>
    <xf numFmtId="0" fontId="4" fillId="19" borderId="1" applyAlignment="1" pivotButton="0" quotePrefix="0" xfId="0">
      <alignment horizontal="center" vertical="center"/>
    </xf>
    <xf numFmtId="0" fontId="21" fillId="19" borderId="1" applyAlignment="1" pivotButton="0" quotePrefix="0" xfId="0">
      <alignment horizontal="center" vertical="center"/>
    </xf>
    <xf numFmtId="0" fontId="18" fillId="4" borderId="1" applyAlignment="1" pivotButton="0" quotePrefix="0" xfId="0">
      <alignment horizontal="center" vertical="center"/>
    </xf>
    <xf numFmtId="0" fontId="19" fillId="4" borderId="1" applyAlignment="1" pivotButton="0" quotePrefix="0" xfId="0">
      <alignment horizontal="center" vertical="center"/>
    </xf>
    <xf numFmtId="0" fontId="20" fillId="4" borderId="1" applyAlignment="1" pivotButton="0" quotePrefix="0" xfId="0">
      <alignment horizontal="center" vertical="center"/>
    </xf>
    <xf numFmtId="0" fontId="4" fillId="4" borderId="1" applyAlignment="1" pivotButton="0" quotePrefix="0" xfId="0">
      <alignment horizontal="left" vertical="center"/>
    </xf>
    <xf numFmtId="0" fontId="4" fillId="4" borderId="1" applyAlignment="1" pivotButton="0" quotePrefix="0" xfId="0">
      <alignment horizontal="center" vertical="center"/>
    </xf>
    <xf numFmtId="0" fontId="21" fillId="4" borderId="1" applyAlignment="1" pivotButton="0" quotePrefix="0" xfId="0">
      <alignment horizontal="center" vertical="center"/>
    </xf>
  </cellXfs>
  <cellStyles count="1">
    <cellStyle name="Normal" xfId="0" builtinId="0" hidden="0"/>
  </cellStyles>
  <dxfs count="5">
    <dxf>
      <font>
        <name val="Calibri"/>
        <b val="1"/>
        <color rgb="005D4037"/>
      </font>
      <fill>
        <patternFill patternType="solid">
          <fgColor rgb="00FFD700"/>
        </patternFill>
      </fill>
    </dxf>
    <dxf>
      <font>
        <name val="Calibri"/>
        <b val="1"/>
        <color rgb="0037474F"/>
      </font>
      <fill>
        <patternFill patternType="solid">
          <fgColor rgb="00B0BEC5"/>
        </patternFill>
      </fill>
    </dxf>
    <dxf>
      <font>
        <name val="Calibri"/>
        <b val="1"/>
        <color rgb="00FFFFFF"/>
      </font>
      <fill>
        <patternFill patternType="solid">
          <fgColor rgb="00A1887F"/>
        </patternFill>
      </fill>
    </dxf>
    <dxf>
      <font>
        <name val="Calibri"/>
        <b val="1"/>
        <color rgb="00B71C1C"/>
      </font>
      <fill>
        <patternFill patternType="solid">
          <fgColor rgb="00FFCDD2"/>
        </patternFill>
      </fill>
    </dxf>
    <dxf>
      <font>
        <name val="Calibri"/>
        <b val="1"/>
        <color rgb="00E65100"/>
      </font>
      <fill>
        <patternFill patternType="solid">
          <fgColor rgb="00FFF3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43"/>
  <sheetViews>
    <sheetView showGridLines="0" workbookViewId="0">
      <selection activeCell="A1" sqref="A1"/>
    </sheetView>
  </sheetViews>
  <sheetFormatPr baseColWidth="8" defaultRowHeight="15"/>
  <cols>
    <col width="4" customWidth="1" min="1" max="1"/>
    <col width="6" customWidth="1" min="2" max="2"/>
    <col width="68" customWidth="1" min="3" max="3"/>
  </cols>
  <sheetData>
    <row r="1" ht="38" customHeight="1">
      <c r="B1" s="1" t="inlineStr">
        <is>
          <t>TCF ARTİSTİK CİMNASTİK  —  KAPSAMLI OFFLİNE PUAN SİSTEMİ  v2</t>
        </is>
      </c>
    </row>
    <row r="2" ht="20" customHeight="1">
      <c r="B2" s="2" t="inlineStr">
        <is>
          <t>D + E − ND = Final  ·  Takım Sıralaması  ·  Alet Finalleri  ·  Çıkış Sırası</t>
        </is>
      </c>
    </row>
    <row r="3" ht="18" customHeight="1">
      <c r="B3" s="3" t="inlineStr"/>
      <c r="C3" s="4" t="inlineStr"/>
    </row>
    <row r="4" ht="18" customHeight="1">
      <c r="B4" s="5" t="inlineStr">
        <is>
          <t>📌</t>
        </is>
      </c>
      <c r="C4" s="6" t="inlineStr">
        <is>
          <t>GENEL KULLANIM</t>
        </is>
      </c>
    </row>
    <row r="5" ht="18" customHeight="1">
      <c r="B5" s="3" t="inlineStr">
        <is>
          <t>1.</t>
        </is>
      </c>
      <c r="C5" s="4" t="inlineStr">
        <is>
          <t>YARIŞMA BİLGİLERİ sekmesine gidin → yarışma adı, tarih ve şehri doldurun.</t>
        </is>
      </c>
    </row>
    <row r="6" ht="18" customHeight="1">
      <c r="B6" s="3" t="inlineStr">
        <is>
          <t>2.</t>
        </is>
      </c>
      <c r="C6" s="4" t="inlineStr">
        <is>
          <t>Kategori sekmelerinde (MİNİK A KIZLAR vb.) sporcu Ad/Soyad/Okul/Tür girin.</t>
        </is>
      </c>
    </row>
    <row r="7" ht="18" customHeight="1">
      <c r="B7" s="3" t="inlineStr">
        <is>
          <t>3.</t>
        </is>
      </c>
      <c r="C7" s="4" t="inlineStr">
        <is>
          <t>Her alet için D, E, ND (Tarafsız Kesinti) puanlarını girin:</t>
        </is>
      </c>
    </row>
    <row r="8" ht="18" customHeight="1">
      <c r="B8" s="3" t="inlineStr">
        <is>
          <t xml:space="preserve">   </t>
        </is>
      </c>
      <c r="C8" s="4" t="inlineStr">
        <is>
          <t xml:space="preserve">    • Final = MAX(0 , D + E − ND)  →  otomatik hesaplanır (mavi sütun).</t>
        </is>
      </c>
    </row>
    <row r="9" ht="18" customHeight="1">
      <c r="B9" s="3" t="inlineStr">
        <is>
          <t xml:space="preserve">   </t>
        </is>
      </c>
      <c r="C9" s="4" t="inlineStr">
        <is>
          <t xml:space="preserve">    • Sadece Final puanı girecekseniz: D=0, E=final_puan, ND=0 kullanın.</t>
        </is>
      </c>
    </row>
    <row r="10" ht="18" customHeight="1">
      <c r="B10" s="3" t="inlineStr">
        <is>
          <t>4.</t>
        </is>
      </c>
      <c r="C10" s="4" t="inlineStr">
        <is>
          <t>Durum sütununa:  N = Normal  |  G = Gecersiz  |  D = Yarışmadı/DNS</t>
        </is>
      </c>
    </row>
    <row r="11" ht="18" customHeight="1">
      <c r="B11" s="3" t="inlineStr">
        <is>
          <t xml:space="preserve">   </t>
        </is>
      </c>
      <c r="C11" s="4" t="inlineStr">
        <is>
          <t xml:space="preserve">    G veya D girilirse o alet Final puanı otomatik 0 yapılır.</t>
        </is>
      </c>
    </row>
    <row r="12" ht="18" customHeight="1">
      <c r="B12" s="3" t="inlineStr">
        <is>
          <t>5.</t>
        </is>
      </c>
      <c r="C12" s="4" t="inlineStr">
        <is>
          <t>TOPLAM ve SIRALAMA otomatik hesaplanır.  Eşit puanlılar aynı sırayı alır.</t>
        </is>
      </c>
    </row>
    <row r="13" ht="18" customHeight="1">
      <c r="B13" s="3" t="inlineStr">
        <is>
          <t>6.</t>
        </is>
      </c>
      <c r="C13" s="4" t="inlineStr">
        <is>
          <t>Her aletin kendi sıralama sütunu da vardır (alet bazlı final seçimi için).</t>
        </is>
      </c>
    </row>
    <row r="14" ht="18" customHeight="1">
      <c r="B14" s="3" t="inlineStr"/>
      <c r="C14" s="4" t="inlineStr"/>
    </row>
    <row r="15" ht="18" customHeight="1">
      <c r="B15" s="7" t="inlineStr">
        <is>
          <t>🏆</t>
        </is>
      </c>
      <c r="C15" s="8" t="inlineStr">
        <is>
          <t>TAKIM SIRALAMASI sekmesi</t>
        </is>
      </c>
    </row>
    <row r="16" ht="18" customHeight="1">
      <c r="B16" s="3" t="inlineStr">
        <is>
          <t>•</t>
        </is>
      </c>
      <c r="C16" s="4" t="inlineStr">
        <is>
          <t>Her kategoride takım adını A sütununa manuel girin.</t>
        </is>
      </c>
    </row>
    <row r="17" ht="18" customHeight="1">
      <c r="B17" s="3" t="inlineStr">
        <is>
          <t>•</t>
        </is>
      </c>
      <c r="C17" s="4" t="inlineStr">
        <is>
          <t>Her aletin "En İyi 3" değeri, ilgili kategori sayfasından otomatik çekilir.</t>
        </is>
      </c>
    </row>
    <row r="18" ht="18" customHeight="1">
      <c r="B18" s="3" t="inlineStr">
        <is>
          <t>•</t>
        </is>
      </c>
      <c r="C18" s="4" t="inlineStr">
        <is>
          <t>SUMPRODUCT formülü kullanılır.  Excel 2019+'ta otomatik çalışır.</t>
        </is>
      </c>
    </row>
    <row r="19" ht="18" customHeight="1">
      <c r="B19" s="3" t="inlineStr">
        <is>
          <t>•</t>
        </is>
      </c>
      <c r="C19" s="4" t="inlineStr">
        <is>
          <t>Eski Excel (2016) kullanıyorsanız formül hücrelerini Ctrl+Shift+Enter ile onaylayın.</t>
        </is>
      </c>
    </row>
    <row r="20" ht="18" customHeight="1">
      <c r="B20" s="3" t="inlineStr">
        <is>
          <t>•</t>
        </is>
      </c>
      <c r="C20" s="4" t="inlineStr">
        <is>
          <t>Takım Kesintisi (ceza) sütununa manuel girin → Final takım puanı otomatik güncellenir.</t>
        </is>
      </c>
    </row>
    <row r="21" ht="18" customHeight="1">
      <c r="B21" s="3" t="inlineStr"/>
      <c r="C21" s="4" t="inlineStr"/>
    </row>
    <row r="22" ht="18" customHeight="1">
      <c r="B22" s="9" t="inlineStr">
        <is>
          <t>🎯</t>
        </is>
      </c>
      <c r="C22" s="10" t="inlineStr">
        <is>
          <t>ALET FİNALLERİ sekmesi</t>
        </is>
      </c>
    </row>
    <row r="23" ht="18" customHeight="1">
      <c r="B23" s="3" t="inlineStr">
        <is>
          <t>•</t>
        </is>
      </c>
      <c r="C23" s="4" t="inlineStr">
        <is>
          <t>Eleme sonucuna göre her alette en iyi 8 sporcu finals için el ile girilir.</t>
        </is>
      </c>
    </row>
    <row r="24" ht="18" customHeight="1">
      <c r="B24" s="3" t="inlineStr">
        <is>
          <t>•</t>
        </is>
      </c>
      <c r="C24" s="4" t="inlineStr">
        <is>
          <t>Final turu için ayrı D/E/ND puanları girilir → Final puanı yeniden hesaplanır.</t>
        </is>
      </c>
    </row>
    <row r="25" ht="18" customHeight="1">
      <c r="B25" s="3" t="inlineStr">
        <is>
          <t>•</t>
        </is>
      </c>
      <c r="C25" s="4" t="inlineStr">
        <is>
          <t>Final sıralaması yalnızca bu tur puanına göre otomatik hesaplanır.</t>
        </is>
      </c>
    </row>
    <row r="26" ht="18" customHeight="1">
      <c r="B26" s="3" t="inlineStr"/>
      <c r="C26" s="4" t="inlineStr"/>
    </row>
    <row r="27" ht="18" customHeight="1">
      <c r="B27" s="11" t="inlineStr">
        <is>
          <t>⚠️</t>
        </is>
      </c>
      <c r="C27" s="12" t="inlineStr">
        <is>
          <t>ÖNEMLİ NOTLAR</t>
        </is>
      </c>
    </row>
    <row r="28" ht="18" customHeight="1">
      <c r="B28" s="3" t="inlineStr">
        <is>
          <t>•</t>
        </is>
      </c>
      <c r="C28" s="4" t="inlineStr">
        <is>
          <t>Ondalık için sistem ayarınıza göre nokta (.) veya virgül (,) kullanın.</t>
        </is>
      </c>
    </row>
    <row r="29" ht="18" customHeight="1">
      <c r="B29" s="3" t="inlineStr">
        <is>
          <t>•</t>
        </is>
      </c>
      <c r="C29" s="4" t="inlineStr">
        <is>
          <t>Düzenli kaydedin: Ctrl+S</t>
        </is>
      </c>
    </row>
    <row r="30" ht="18" customHeight="1">
      <c r="B30" s="3" t="inlineStr">
        <is>
          <t>•</t>
        </is>
      </c>
      <c r="C30" s="4" t="inlineStr">
        <is>
          <t>40'dan fazla sporcu için yeni satır ekleyin; formülleri bir üst satırdan kopyalayın.</t>
        </is>
      </c>
    </row>
    <row r="31" ht="18" customHeight="1">
      <c r="B31" s="3" t="inlineStr"/>
      <c r="C31" s="4" t="inlineStr"/>
    </row>
    <row r="32" ht="18" customHeight="1">
      <c r="B32" s="13" t="inlineStr">
        <is>
          <t>📋</t>
        </is>
      </c>
      <c r="C32" s="14" t="inlineStr">
        <is>
          <t>KATEGORİLER VE ALETLER</t>
        </is>
      </c>
    </row>
    <row r="33" ht="18" customHeight="1">
      <c r="B33" s="3" t="inlineStr"/>
      <c r="C33" s="4" t="inlineStr"/>
    </row>
    <row r="34" ht="18" customHeight="1">
      <c r="B34" s="15" t="inlineStr">
        <is>
          <t>👧</t>
        </is>
      </c>
      <c r="C34" s="16" t="inlineStr">
        <is>
          <t>MİNİK A KIZLAR:  Atlama (VT) + Serbest (FX)</t>
        </is>
      </c>
    </row>
    <row r="35" ht="18" customHeight="1">
      <c r="B35" s="17" t="inlineStr">
        <is>
          <t>👦</t>
        </is>
      </c>
      <c r="C35" s="18" t="inlineStr">
        <is>
          <t>MİNİK A ERKEKLER:  Yer (FX) + Atlama (VT)</t>
        </is>
      </c>
    </row>
    <row r="36" ht="18" customHeight="1">
      <c r="B36" s="15" t="inlineStr">
        <is>
          <t>👧</t>
        </is>
      </c>
      <c r="C36" s="16" t="inlineStr">
        <is>
          <t>MİNİK B KIZLAR:  Atlama (VT) + Serbest (FX)</t>
        </is>
      </c>
    </row>
    <row r="37" ht="18" customHeight="1">
      <c r="B37" s="17" t="inlineStr">
        <is>
          <t>👦</t>
        </is>
      </c>
      <c r="C37" s="18" t="inlineStr">
        <is>
          <t>MİNİK B ERKEKLER:  Yer (FX) + Atlama (VT)</t>
        </is>
      </c>
    </row>
    <row r="38" ht="18" customHeight="1">
      <c r="B38" s="15" t="inlineStr">
        <is>
          <t>👧</t>
        </is>
      </c>
      <c r="C38" s="16" t="inlineStr">
        <is>
          <t>KÜÇÜK KIZLAR:  Atlama (VT) + As.Paralel (UB) + Denge (BB) + Serbest (FX)</t>
        </is>
      </c>
    </row>
    <row r="39" ht="18" customHeight="1">
      <c r="B39" s="17" t="inlineStr">
        <is>
          <t>👦</t>
        </is>
      </c>
      <c r="C39" s="18" t="inlineStr">
        <is>
          <t>KÜÇÜK ERKEKLER:  Yer (FX) + Atlama (VT) + Paralel (PB) + Barfiks (HB)</t>
        </is>
      </c>
    </row>
    <row r="40" ht="18" customHeight="1">
      <c r="B40" s="15" t="inlineStr">
        <is>
          <t>👧</t>
        </is>
      </c>
      <c r="C40" s="16" t="inlineStr">
        <is>
          <t>YILDIZ KIZLAR:  Atlama (VT) + As.Paralel (UB) + Denge (BB) + Serbest (FX)</t>
        </is>
      </c>
    </row>
    <row r="41" ht="18" customHeight="1">
      <c r="B41" s="17" t="inlineStr">
        <is>
          <t>👦</t>
        </is>
      </c>
      <c r="C41" s="18" t="inlineStr">
        <is>
          <t>YILDIZ ERKEKLER:  Yer (FX) + Kulplu Beygir (PH) + Halka (SR) + Atlama (VT) + Paralel (PB) + Barfiks (HB)</t>
        </is>
      </c>
    </row>
    <row r="42" ht="18" customHeight="1">
      <c r="B42" s="15" t="inlineStr">
        <is>
          <t>👧</t>
        </is>
      </c>
      <c r="C42" s="16" t="inlineStr">
        <is>
          <t>GENÇ KIZLAR:  Atlama (VT) + As.Paralel (UB) + Denge (BB) + Serbest (FX)</t>
        </is>
      </c>
    </row>
    <row r="43" ht="18" customHeight="1">
      <c r="B43" s="17" t="inlineStr">
        <is>
          <t>👦</t>
        </is>
      </c>
      <c r="C43" s="18" t="inlineStr">
        <is>
          <t>GENÇ ERKEKLER:  Yer (FX) + Kulplu Beygir (PH) + Halka (SR) + Atlama (VT) + Paralel (PB) + Barfiks (HB)</t>
        </is>
      </c>
    </row>
  </sheetData>
  <mergeCells count="2">
    <mergeCell ref="B1:C1"/>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7"/>
  <sheetViews>
    <sheetView showGridLines="0" workbookViewId="0">
      <selection activeCell="A1" sqref="A1"/>
    </sheetView>
  </sheetViews>
  <sheetFormatPr baseColWidth="8" defaultRowHeight="15"/>
  <cols>
    <col width="3" customWidth="1" min="1" max="1"/>
    <col width="30" customWidth="1" min="2" max="2"/>
    <col width="45" customWidth="1" min="3" max="3"/>
  </cols>
  <sheetData>
    <row r="1" ht="34" customHeight="1">
      <c r="B1" s="19" t="inlineStr">
        <is>
          <t>YARIŞMA BİLGİLERİ</t>
        </is>
      </c>
    </row>
    <row r="3" ht="22" customHeight="1">
      <c r="B3" s="20" t="inlineStr">
        <is>
          <t>Yarışma Adı</t>
        </is>
      </c>
      <c r="C3" s="21" t="inlineStr">
        <is>
          <t>Buraya yarışma adını yazın</t>
        </is>
      </c>
    </row>
    <row r="4" ht="22" customHeight="1">
      <c r="B4" s="20" t="inlineStr">
        <is>
          <t>Tarih</t>
        </is>
      </c>
      <c r="C4" s="21" t="inlineStr">
        <is>
          <t>GG.AA.YYYY</t>
        </is>
      </c>
    </row>
    <row r="5" ht="22" customHeight="1">
      <c r="B5" s="20" t="inlineStr">
        <is>
          <t>Şehir / İl</t>
        </is>
      </c>
      <c r="C5" s="21" t="inlineStr"/>
    </row>
    <row r="6" ht="22" customHeight="1">
      <c r="B6" s="20" t="inlineStr">
        <is>
          <t>Düzenleyen Kurum</t>
        </is>
      </c>
      <c r="C6" s="21" t="inlineStr"/>
    </row>
    <row r="7" ht="22" customHeight="1">
      <c r="B7" s="20" t="inlineStr">
        <is>
          <t>Hakem Başkanı</t>
        </is>
      </c>
      <c r="C7" s="21" t="inlineStr"/>
    </row>
  </sheetData>
  <mergeCells count="1">
    <mergeCell ref="B1:C1"/>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S4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4" customWidth="1" min="3" max="3"/>
    <col width="26" customWidth="1" min="4" max="4"/>
    <col width="10" customWidth="1" min="5" max="5"/>
    <col width="6.5" customWidth="1" min="6" max="6"/>
    <col width="6.5" customWidth="1" min="7" max="7"/>
    <col width="6.5" customWidth="1" min="8" max="8"/>
    <col width="9" customWidth="1" min="9" max="9"/>
    <col width="6" customWidth="1" min="10" max="10"/>
    <col width="6.5" customWidth="1" min="11" max="11"/>
    <col width="6.5" customWidth="1" min="12" max="12"/>
    <col width="6.5" customWidth="1" min="13" max="13"/>
    <col width="9" customWidth="1" min="14" max="14"/>
    <col width="6" customWidth="1" min="15" max="15"/>
    <col width="11" customWidth="1" min="16" max="16"/>
    <col width="9" customWidth="1" min="17" max="17"/>
    <col width="7" customWidth="1" min="18" max="18"/>
    <col width="7" customWidth="1" min="19" max="19"/>
  </cols>
  <sheetData>
    <row r="1" ht="32" customHeight="1">
      <c r="A1" s="22" t="inlineStr">
        <is>
          <t>MİNİK A KIZLAR</t>
        </is>
      </c>
    </row>
    <row r="2" ht="15" customHeight="1">
      <c r="A2" s="23">
        <f>'YARIŞMA BİLGİLERİ'!C3&amp;"  —  "&amp;'YARIŞMA BİLGİLERİ'!C4&amp;"  |  "&amp;'YARIŞMA BİLGİLERİ'!C5</f>
        <v/>
      </c>
    </row>
    <row r="3" ht="22" customHeight="1">
      <c r="A3" s="24" t="n"/>
      <c r="B3" s="24" t="n"/>
      <c r="C3" s="24" t="n"/>
      <c r="D3" s="24" t="n"/>
      <c r="E3" s="24" t="n"/>
      <c r="F3" s="25" t="inlineStr">
        <is>
          <t>ATLAMA (VT)</t>
        </is>
      </c>
      <c r="G3" s="24" t="n"/>
      <c r="H3" s="24" t="n"/>
      <c r="I3" s="24" t="n"/>
      <c r="J3" s="24" t="n"/>
      <c r="K3" s="25" t="inlineStr">
        <is>
          <t>SERBEST (FX)</t>
        </is>
      </c>
      <c r="L3" s="24" t="n"/>
      <c r="M3" s="24" t="n"/>
      <c r="N3" s="24" t="n"/>
      <c r="O3" s="24" t="n"/>
      <c r="P3" s="24" t="n"/>
      <c r="Q3" s="24" t="n"/>
      <c r="R3" s="26" t="inlineStr">
        <is>
          <t>ALET SIRALARI  (Eleme Seçimi için)</t>
        </is>
      </c>
      <c r="S3" s="24" t="n"/>
    </row>
    <row r="4" ht="30" customHeight="1">
      <c r="A4" s="27" t="inlineStr">
        <is>
          <t>No</t>
        </is>
      </c>
      <c r="B4" s="27" t="inlineStr">
        <is>
          <t>Ad</t>
        </is>
      </c>
      <c r="C4" s="27" t="inlineStr">
        <is>
          <t>Soyad</t>
        </is>
      </c>
      <c r="D4" s="27" t="inlineStr">
        <is>
          <t>Okul / Kulüp</t>
        </is>
      </c>
      <c r="E4" s="27" t="inlineStr">
        <is>
          <t>Tür</t>
        </is>
      </c>
      <c r="F4" s="27" t="inlineStr">
        <is>
          <t>D</t>
        </is>
      </c>
      <c r="G4" s="27" t="inlineStr">
        <is>
          <t>E</t>
        </is>
      </c>
      <c r="H4" s="27" t="inlineStr">
        <is>
          <t>ND</t>
        </is>
      </c>
      <c r="I4" s="27" t="inlineStr">
        <is>
          <t>Final</t>
        </is>
      </c>
      <c r="J4" s="27" t="inlineStr">
        <is>
          <t>Dur</t>
        </is>
      </c>
      <c r="K4" s="27" t="inlineStr">
        <is>
          <t>D</t>
        </is>
      </c>
      <c r="L4" s="27" t="inlineStr">
        <is>
          <t>E</t>
        </is>
      </c>
      <c r="M4" s="27" t="inlineStr">
        <is>
          <t>ND</t>
        </is>
      </c>
      <c r="N4" s="27" t="inlineStr">
        <is>
          <t>Final</t>
        </is>
      </c>
      <c r="O4" s="27" t="inlineStr">
        <is>
          <t>Dur</t>
        </is>
      </c>
      <c r="P4" s="27" t="inlineStr">
        <is>
          <t>TOPLAM</t>
        </is>
      </c>
      <c r="Q4" s="27" t="inlineStr">
        <is>
          <t>SIRALAMA</t>
        </is>
      </c>
      <c r="R4" s="27" t="inlineStr">
        <is>
          <t>VT</t>
        </is>
      </c>
      <c r="S4" s="27" t="inlineStr">
        <is>
          <t>FX</t>
        </is>
      </c>
    </row>
    <row r="5" ht="13" customHeight="1">
      <c r="A5" s="28" t="inlineStr">
        <is>
          <t>Final = MAX(0, D+E−ND)  |  Dur: N=Normal · G=Gecersiz · D=Yarışmadı/DNS  |  Mavi sütun = formül (elle girme)  |  Yeşil = Toplam  |  Sarı = Sıralama</t>
        </is>
      </c>
    </row>
    <row r="6">
      <c r="A6" s="29" t="n">
        <v>1</v>
      </c>
      <c r="B6" s="30" t="n"/>
      <c r="C6" s="30" t="n"/>
      <c r="D6" s="31" t="n"/>
      <c r="E6" s="32" t="n"/>
      <c r="F6" s="33" t="n"/>
      <c r="G6" s="33" t="n"/>
      <c r="H6" s="33" t="n"/>
      <c r="I6" s="34">
        <f>IF(OR(J6="G",J6="D"),0,IF(AND(F6="",G6=""),0,MAX(0,IFERROR(F6+0,0)+IFERROR(G6+0,0)-IFERROR(H6+0,0))))</f>
        <v/>
      </c>
      <c r="J6" s="35" t="n"/>
      <c r="K6" s="33" t="n"/>
      <c r="L6" s="33" t="n"/>
      <c r="M6" s="33" t="n"/>
      <c r="N6" s="34">
        <f>IF(OR(O6="G",O6="D"),0,IF(AND(K6="",L6=""),0,MAX(0,IFERROR(K6+0,0)+IFERROR(L6+0,0)-IFERROR(M6+0,0))))</f>
        <v/>
      </c>
      <c r="O6" s="35" t="n"/>
      <c r="P6" s="36">
        <f>IF(B6="","",IF(OR(J6="G",J6="D"),0,I6)+IF(OR(O6="G",O6="D"),0,N6))</f>
        <v/>
      </c>
      <c r="Q6" s="37">
        <f>IF(OR(B6="",P6=0),"-",RANK.EQ(P6,$P$6:$P$45,0))</f>
        <v/>
      </c>
      <c r="R6" s="35">
        <f>IF(OR(B6="",I6=0),"-",IF(OR(J6="G",J6="D"),IF(J6="G","G","D"),COUNTIF($I$6:$I$45,"&gt;"&amp;I6)+1))</f>
        <v/>
      </c>
      <c r="S6" s="35">
        <f>IF(OR(B6="",N6=0),"-",IF(OR(O6="G",O6="D"),IF(O6="G","G","D"),COUNTIF($N$6:$N$45,"&gt;"&amp;N6)+1))</f>
        <v/>
      </c>
    </row>
    <row r="7">
      <c r="A7" s="38" t="n">
        <v>2</v>
      </c>
      <c r="B7" s="39" t="n"/>
      <c r="C7" s="39" t="n"/>
      <c r="D7" s="40" t="n"/>
      <c r="E7" s="41" t="n"/>
      <c r="F7" s="42" t="n"/>
      <c r="G7" s="42" t="n"/>
      <c r="H7" s="42" t="n"/>
      <c r="I7" s="34">
        <f>IF(OR(J7="G",J7="D"),0,IF(AND(F7="",G7=""),0,MAX(0,IFERROR(F7+0,0)+IFERROR(G7+0,0)-IFERROR(H7+0,0))))</f>
        <v/>
      </c>
      <c r="J7" s="43" t="n"/>
      <c r="K7" s="42" t="n"/>
      <c r="L7" s="42" t="n"/>
      <c r="M7" s="42" t="n"/>
      <c r="N7" s="34">
        <f>IF(OR(O7="G",O7="D"),0,IF(AND(K7="",L7=""),0,MAX(0,IFERROR(K7+0,0)+IFERROR(L7+0,0)-IFERROR(M7+0,0))))</f>
        <v/>
      </c>
      <c r="O7" s="43" t="n"/>
      <c r="P7" s="36">
        <f>IF(B7="","",IF(OR(J7="G",J7="D"),0,I7)+IF(OR(O7="G",O7="D"),0,N7))</f>
        <v/>
      </c>
      <c r="Q7" s="37">
        <f>IF(OR(B7="",P7=0),"-",RANK.EQ(P7,$P$6:$P$45,0))</f>
        <v/>
      </c>
      <c r="R7" s="43">
        <f>IF(OR(B7="",I7=0),"-",IF(OR(J7="G",J7="D"),IF(J7="G","G","D"),COUNTIF($I$6:$I$45,"&gt;"&amp;I7)+1))</f>
        <v/>
      </c>
      <c r="S7" s="43">
        <f>IF(OR(B7="",N7=0),"-",IF(OR(O7="G",O7="D"),IF(O7="G","G","D"),COUNTIF($N$6:$N$45,"&gt;"&amp;N7)+1))</f>
        <v/>
      </c>
    </row>
    <row r="8">
      <c r="A8" s="29" t="n">
        <v>3</v>
      </c>
      <c r="B8" s="30" t="n"/>
      <c r="C8" s="30" t="n"/>
      <c r="D8" s="31" t="n"/>
      <c r="E8" s="32" t="n"/>
      <c r="F8" s="33" t="n"/>
      <c r="G8" s="33" t="n"/>
      <c r="H8" s="33" t="n"/>
      <c r="I8" s="34">
        <f>IF(OR(J8="G",J8="D"),0,IF(AND(F8="",G8=""),0,MAX(0,IFERROR(F8+0,0)+IFERROR(G8+0,0)-IFERROR(H8+0,0))))</f>
        <v/>
      </c>
      <c r="J8" s="35" t="n"/>
      <c r="K8" s="33" t="n"/>
      <c r="L8" s="33" t="n"/>
      <c r="M8" s="33" t="n"/>
      <c r="N8" s="34">
        <f>IF(OR(O8="G",O8="D"),0,IF(AND(K8="",L8=""),0,MAX(0,IFERROR(K8+0,0)+IFERROR(L8+0,0)-IFERROR(M8+0,0))))</f>
        <v/>
      </c>
      <c r="O8" s="35" t="n"/>
      <c r="P8" s="36">
        <f>IF(B8="","",IF(OR(J8="G",J8="D"),0,I8)+IF(OR(O8="G",O8="D"),0,N8))</f>
        <v/>
      </c>
      <c r="Q8" s="37">
        <f>IF(OR(B8="",P8=0),"-",RANK.EQ(P8,$P$6:$P$45,0))</f>
        <v/>
      </c>
      <c r="R8" s="35">
        <f>IF(OR(B8="",I8=0),"-",IF(OR(J8="G",J8="D"),IF(J8="G","G","D"),COUNTIF($I$6:$I$45,"&gt;"&amp;I8)+1))</f>
        <v/>
      </c>
      <c r="S8" s="35">
        <f>IF(OR(B8="",N8=0),"-",IF(OR(O8="G",O8="D"),IF(O8="G","G","D"),COUNTIF($N$6:$N$45,"&gt;"&amp;N8)+1))</f>
        <v/>
      </c>
    </row>
    <row r="9">
      <c r="A9" s="38" t="n">
        <v>4</v>
      </c>
      <c r="B9" s="39" t="n"/>
      <c r="C9" s="39" t="n"/>
      <c r="D9" s="40" t="n"/>
      <c r="E9" s="41" t="n"/>
      <c r="F9" s="42" t="n"/>
      <c r="G9" s="42" t="n"/>
      <c r="H9" s="42" t="n"/>
      <c r="I9" s="34">
        <f>IF(OR(J9="G",J9="D"),0,IF(AND(F9="",G9=""),0,MAX(0,IFERROR(F9+0,0)+IFERROR(G9+0,0)-IFERROR(H9+0,0))))</f>
        <v/>
      </c>
      <c r="J9" s="43" t="n"/>
      <c r="K9" s="42" t="n"/>
      <c r="L9" s="42" t="n"/>
      <c r="M9" s="42" t="n"/>
      <c r="N9" s="34">
        <f>IF(OR(O9="G",O9="D"),0,IF(AND(K9="",L9=""),0,MAX(0,IFERROR(K9+0,0)+IFERROR(L9+0,0)-IFERROR(M9+0,0))))</f>
        <v/>
      </c>
      <c r="O9" s="43" t="n"/>
      <c r="P9" s="36">
        <f>IF(B9="","",IF(OR(J9="G",J9="D"),0,I9)+IF(OR(O9="G",O9="D"),0,N9))</f>
        <v/>
      </c>
      <c r="Q9" s="37">
        <f>IF(OR(B9="",P9=0),"-",RANK.EQ(P9,$P$6:$P$45,0))</f>
        <v/>
      </c>
      <c r="R9" s="43">
        <f>IF(OR(B9="",I9=0),"-",IF(OR(J9="G",J9="D"),IF(J9="G","G","D"),COUNTIF($I$6:$I$45,"&gt;"&amp;I9)+1))</f>
        <v/>
      </c>
      <c r="S9" s="43">
        <f>IF(OR(B9="",N9=0),"-",IF(OR(O9="G",O9="D"),IF(O9="G","G","D"),COUNTIF($N$6:$N$45,"&gt;"&amp;N9)+1))</f>
        <v/>
      </c>
    </row>
    <row r="10">
      <c r="A10" s="29" t="n">
        <v>5</v>
      </c>
      <c r="B10" s="30" t="n"/>
      <c r="C10" s="30" t="n"/>
      <c r="D10" s="31" t="n"/>
      <c r="E10" s="32" t="n"/>
      <c r="F10" s="33" t="n"/>
      <c r="G10" s="33" t="n"/>
      <c r="H10" s="33" t="n"/>
      <c r="I10" s="34">
        <f>IF(OR(J10="G",J10="D"),0,IF(AND(F10="",G10=""),0,MAX(0,IFERROR(F10+0,0)+IFERROR(G10+0,0)-IFERROR(H10+0,0))))</f>
        <v/>
      </c>
      <c r="J10" s="35" t="n"/>
      <c r="K10" s="33" t="n"/>
      <c r="L10" s="33" t="n"/>
      <c r="M10" s="33" t="n"/>
      <c r="N10" s="34">
        <f>IF(OR(O10="G",O10="D"),0,IF(AND(K10="",L10=""),0,MAX(0,IFERROR(K10+0,0)+IFERROR(L10+0,0)-IFERROR(M10+0,0))))</f>
        <v/>
      </c>
      <c r="O10" s="35" t="n"/>
      <c r="P10" s="36">
        <f>IF(B10="","",IF(OR(J10="G",J10="D"),0,I10)+IF(OR(O10="G",O10="D"),0,N10))</f>
        <v/>
      </c>
      <c r="Q10" s="37">
        <f>IF(OR(B10="",P10=0),"-",RANK.EQ(P10,$P$6:$P$45,0))</f>
        <v/>
      </c>
      <c r="R10" s="35">
        <f>IF(OR(B10="",I10=0),"-",IF(OR(J10="G",J10="D"),IF(J10="G","G","D"),COUNTIF($I$6:$I$45,"&gt;"&amp;I10)+1))</f>
        <v/>
      </c>
      <c r="S10" s="35">
        <f>IF(OR(B10="",N10=0),"-",IF(OR(O10="G",O10="D"),IF(O10="G","G","D"),COUNTIF($N$6:$N$45,"&gt;"&amp;N10)+1))</f>
        <v/>
      </c>
    </row>
    <row r="11">
      <c r="A11" s="38" t="n">
        <v>6</v>
      </c>
      <c r="B11" s="39" t="n"/>
      <c r="C11" s="39" t="n"/>
      <c r="D11" s="40" t="n"/>
      <c r="E11" s="41" t="n"/>
      <c r="F11" s="42" t="n"/>
      <c r="G11" s="42" t="n"/>
      <c r="H11" s="42" t="n"/>
      <c r="I11" s="34">
        <f>IF(OR(J11="G",J11="D"),0,IF(AND(F11="",G11=""),0,MAX(0,IFERROR(F11+0,0)+IFERROR(G11+0,0)-IFERROR(H11+0,0))))</f>
        <v/>
      </c>
      <c r="J11" s="43" t="n"/>
      <c r="K11" s="42" t="n"/>
      <c r="L11" s="42" t="n"/>
      <c r="M11" s="42" t="n"/>
      <c r="N11" s="34">
        <f>IF(OR(O11="G",O11="D"),0,IF(AND(K11="",L11=""),0,MAX(0,IFERROR(K11+0,0)+IFERROR(L11+0,0)-IFERROR(M11+0,0))))</f>
        <v/>
      </c>
      <c r="O11" s="43" t="n"/>
      <c r="P11" s="36">
        <f>IF(B11="","",IF(OR(J11="G",J11="D"),0,I11)+IF(OR(O11="G",O11="D"),0,N11))</f>
        <v/>
      </c>
      <c r="Q11" s="37">
        <f>IF(OR(B11="",P11=0),"-",RANK.EQ(P11,$P$6:$P$45,0))</f>
        <v/>
      </c>
      <c r="R11" s="43">
        <f>IF(OR(B11="",I11=0),"-",IF(OR(J11="G",J11="D"),IF(J11="G","G","D"),COUNTIF($I$6:$I$45,"&gt;"&amp;I11)+1))</f>
        <v/>
      </c>
      <c r="S11" s="43">
        <f>IF(OR(B11="",N11=0),"-",IF(OR(O11="G",O11="D"),IF(O11="G","G","D"),COUNTIF($N$6:$N$45,"&gt;"&amp;N11)+1))</f>
        <v/>
      </c>
    </row>
    <row r="12">
      <c r="A12" s="29" t="n">
        <v>7</v>
      </c>
      <c r="B12" s="30" t="n"/>
      <c r="C12" s="30" t="n"/>
      <c r="D12" s="31" t="n"/>
      <c r="E12" s="32" t="n"/>
      <c r="F12" s="33" t="n"/>
      <c r="G12" s="33" t="n"/>
      <c r="H12" s="33" t="n"/>
      <c r="I12" s="34">
        <f>IF(OR(J12="G",J12="D"),0,IF(AND(F12="",G12=""),0,MAX(0,IFERROR(F12+0,0)+IFERROR(G12+0,0)-IFERROR(H12+0,0))))</f>
        <v/>
      </c>
      <c r="J12" s="35" t="n"/>
      <c r="K12" s="33" t="n"/>
      <c r="L12" s="33" t="n"/>
      <c r="M12" s="33" t="n"/>
      <c r="N12" s="34">
        <f>IF(OR(O12="G",O12="D"),0,IF(AND(K12="",L12=""),0,MAX(0,IFERROR(K12+0,0)+IFERROR(L12+0,0)-IFERROR(M12+0,0))))</f>
        <v/>
      </c>
      <c r="O12" s="35" t="n"/>
      <c r="P12" s="36">
        <f>IF(B12="","",IF(OR(J12="G",J12="D"),0,I12)+IF(OR(O12="G",O12="D"),0,N12))</f>
        <v/>
      </c>
      <c r="Q12" s="37">
        <f>IF(OR(B12="",P12=0),"-",RANK.EQ(P12,$P$6:$P$45,0))</f>
        <v/>
      </c>
      <c r="R12" s="35">
        <f>IF(OR(B12="",I12=0),"-",IF(OR(J12="G",J12="D"),IF(J12="G","G","D"),COUNTIF($I$6:$I$45,"&gt;"&amp;I12)+1))</f>
        <v/>
      </c>
      <c r="S12" s="35">
        <f>IF(OR(B12="",N12=0),"-",IF(OR(O12="G",O12="D"),IF(O12="G","G","D"),COUNTIF($N$6:$N$45,"&gt;"&amp;N12)+1))</f>
        <v/>
      </c>
    </row>
    <row r="13">
      <c r="A13" s="38" t="n">
        <v>8</v>
      </c>
      <c r="B13" s="39" t="n"/>
      <c r="C13" s="39" t="n"/>
      <c r="D13" s="40" t="n"/>
      <c r="E13" s="41" t="n"/>
      <c r="F13" s="42" t="n"/>
      <c r="G13" s="42" t="n"/>
      <c r="H13" s="42" t="n"/>
      <c r="I13" s="34">
        <f>IF(OR(J13="G",J13="D"),0,IF(AND(F13="",G13=""),0,MAX(0,IFERROR(F13+0,0)+IFERROR(G13+0,0)-IFERROR(H13+0,0))))</f>
        <v/>
      </c>
      <c r="J13" s="43" t="n"/>
      <c r="K13" s="42" t="n"/>
      <c r="L13" s="42" t="n"/>
      <c r="M13" s="42" t="n"/>
      <c r="N13" s="34">
        <f>IF(OR(O13="G",O13="D"),0,IF(AND(K13="",L13=""),0,MAX(0,IFERROR(K13+0,0)+IFERROR(L13+0,0)-IFERROR(M13+0,0))))</f>
        <v/>
      </c>
      <c r="O13" s="43" t="n"/>
      <c r="P13" s="36">
        <f>IF(B13="","",IF(OR(J13="G",J13="D"),0,I13)+IF(OR(O13="G",O13="D"),0,N13))</f>
        <v/>
      </c>
      <c r="Q13" s="37">
        <f>IF(OR(B13="",P13=0),"-",RANK.EQ(P13,$P$6:$P$45,0))</f>
        <v/>
      </c>
      <c r="R13" s="43">
        <f>IF(OR(B13="",I13=0),"-",IF(OR(J13="G",J13="D"),IF(J13="G","G","D"),COUNTIF($I$6:$I$45,"&gt;"&amp;I13)+1))</f>
        <v/>
      </c>
      <c r="S13" s="43">
        <f>IF(OR(B13="",N13=0),"-",IF(OR(O13="G",O13="D"),IF(O13="G","G","D"),COUNTIF($N$6:$N$45,"&gt;"&amp;N13)+1))</f>
        <v/>
      </c>
    </row>
    <row r="14">
      <c r="A14" s="29" t="n">
        <v>9</v>
      </c>
      <c r="B14" s="30" t="n"/>
      <c r="C14" s="30" t="n"/>
      <c r="D14" s="31" t="n"/>
      <c r="E14" s="32" t="n"/>
      <c r="F14" s="33" t="n"/>
      <c r="G14" s="33" t="n"/>
      <c r="H14" s="33" t="n"/>
      <c r="I14" s="34">
        <f>IF(OR(J14="G",J14="D"),0,IF(AND(F14="",G14=""),0,MAX(0,IFERROR(F14+0,0)+IFERROR(G14+0,0)-IFERROR(H14+0,0))))</f>
        <v/>
      </c>
      <c r="J14" s="35" t="n"/>
      <c r="K14" s="33" t="n"/>
      <c r="L14" s="33" t="n"/>
      <c r="M14" s="33" t="n"/>
      <c r="N14" s="34">
        <f>IF(OR(O14="G",O14="D"),0,IF(AND(K14="",L14=""),0,MAX(0,IFERROR(K14+0,0)+IFERROR(L14+0,0)-IFERROR(M14+0,0))))</f>
        <v/>
      </c>
      <c r="O14" s="35" t="n"/>
      <c r="P14" s="36">
        <f>IF(B14="","",IF(OR(J14="G",J14="D"),0,I14)+IF(OR(O14="G",O14="D"),0,N14))</f>
        <v/>
      </c>
      <c r="Q14" s="37">
        <f>IF(OR(B14="",P14=0),"-",RANK.EQ(P14,$P$6:$P$45,0))</f>
        <v/>
      </c>
      <c r="R14" s="35">
        <f>IF(OR(B14="",I14=0),"-",IF(OR(J14="G",J14="D"),IF(J14="G","G","D"),COUNTIF($I$6:$I$45,"&gt;"&amp;I14)+1))</f>
        <v/>
      </c>
      <c r="S14" s="35">
        <f>IF(OR(B14="",N14=0),"-",IF(OR(O14="G",O14="D"),IF(O14="G","G","D"),COUNTIF($N$6:$N$45,"&gt;"&amp;N14)+1))</f>
        <v/>
      </c>
    </row>
    <row r="15">
      <c r="A15" s="38" t="n">
        <v>10</v>
      </c>
      <c r="B15" s="39" t="n"/>
      <c r="C15" s="39" t="n"/>
      <c r="D15" s="40" t="n"/>
      <c r="E15" s="41" t="n"/>
      <c r="F15" s="42" t="n"/>
      <c r="G15" s="42" t="n"/>
      <c r="H15" s="42" t="n"/>
      <c r="I15" s="34">
        <f>IF(OR(J15="G",J15="D"),0,IF(AND(F15="",G15=""),0,MAX(0,IFERROR(F15+0,0)+IFERROR(G15+0,0)-IFERROR(H15+0,0))))</f>
        <v/>
      </c>
      <c r="J15" s="43" t="n"/>
      <c r="K15" s="42" t="n"/>
      <c r="L15" s="42" t="n"/>
      <c r="M15" s="42" t="n"/>
      <c r="N15" s="34">
        <f>IF(OR(O15="G",O15="D"),0,IF(AND(K15="",L15=""),0,MAX(0,IFERROR(K15+0,0)+IFERROR(L15+0,0)-IFERROR(M15+0,0))))</f>
        <v/>
      </c>
      <c r="O15" s="43" t="n"/>
      <c r="P15" s="36">
        <f>IF(B15="","",IF(OR(J15="G",J15="D"),0,I15)+IF(OR(O15="G",O15="D"),0,N15))</f>
        <v/>
      </c>
      <c r="Q15" s="37">
        <f>IF(OR(B15="",P15=0),"-",RANK.EQ(P15,$P$6:$P$45,0))</f>
        <v/>
      </c>
      <c r="R15" s="43">
        <f>IF(OR(B15="",I15=0),"-",IF(OR(J15="G",J15="D"),IF(J15="G","G","D"),COUNTIF($I$6:$I$45,"&gt;"&amp;I15)+1))</f>
        <v/>
      </c>
      <c r="S15" s="43">
        <f>IF(OR(B15="",N15=0),"-",IF(OR(O15="G",O15="D"),IF(O15="G","G","D"),COUNTIF($N$6:$N$45,"&gt;"&amp;N15)+1))</f>
        <v/>
      </c>
    </row>
    <row r="16">
      <c r="A16" s="29" t="n">
        <v>11</v>
      </c>
      <c r="B16" s="30" t="n"/>
      <c r="C16" s="30" t="n"/>
      <c r="D16" s="31" t="n"/>
      <c r="E16" s="32" t="n"/>
      <c r="F16" s="33" t="n"/>
      <c r="G16" s="33" t="n"/>
      <c r="H16" s="33" t="n"/>
      <c r="I16" s="34">
        <f>IF(OR(J16="G",J16="D"),0,IF(AND(F16="",G16=""),0,MAX(0,IFERROR(F16+0,0)+IFERROR(G16+0,0)-IFERROR(H16+0,0))))</f>
        <v/>
      </c>
      <c r="J16" s="35" t="n"/>
      <c r="K16" s="33" t="n"/>
      <c r="L16" s="33" t="n"/>
      <c r="M16" s="33" t="n"/>
      <c r="N16" s="34">
        <f>IF(OR(O16="G",O16="D"),0,IF(AND(K16="",L16=""),0,MAX(0,IFERROR(K16+0,0)+IFERROR(L16+0,0)-IFERROR(M16+0,0))))</f>
        <v/>
      </c>
      <c r="O16" s="35" t="n"/>
      <c r="P16" s="36">
        <f>IF(B16="","",IF(OR(J16="G",J16="D"),0,I16)+IF(OR(O16="G",O16="D"),0,N16))</f>
        <v/>
      </c>
      <c r="Q16" s="37">
        <f>IF(OR(B16="",P16=0),"-",RANK.EQ(P16,$P$6:$P$45,0))</f>
        <v/>
      </c>
      <c r="R16" s="35">
        <f>IF(OR(B16="",I16=0),"-",IF(OR(J16="G",J16="D"),IF(J16="G","G","D"),COUNTIF($I$6:$I$45,"&gt;"&amp;I16)+1))</f>
        <v/>
      </c>
      <c r="S16" s="35">
        <f>IF(OR(B16="",N16=0),"-",IF(OR(O16="G",O16="D"),IF(O16="G","G","D"),COUNTIF($N$6:$N$45,"&gt;"&amp;N16)+1))</f>
        <v/>
      </c>
    </row>
    <row r="17">
      <c r="A17" s="38" t="n">
        <v>12</v>
      </c>
      <c r="B17" s="39" t="n"/>
      <c r="C17" s="39" t="n"/>
      <c r="D17" s="40" t="n"/>
      <c r="E17" s="41" t="n"/>
      <c r="F17" s="42" t="n"/>
      <c r="G17" s="42" t="n"/>
      <c r="H17" s="42" t="n"/>
      <c r="I17" s="34">
        <f>IF(OR(J17="G",J17="D"),0,IF(AND(F17="",G17=""),0,MAX(0,IFERROR(F17+0,0)+IFERROR(G17+0,0)-IFERROR(H17+0,0))))</f>
        <v/>
      </c>
      <c r="J17" s="43" t="n"/>
      <c r="K17" s="42" t="n"/>
      <c r="L17" s="42" t="n"/>
      <c r="M17" s="42" t="n"/>
      <c r="N17" s="34">
        <f>IF(OR(O17="G",O17="D"),0,IF(AND(K17="",L17=""),0,MAX(0,IFERROR(K17+0,0)+IFERROR(L17+0,0)-IFERROR(M17+0,0))))</f>
        <v/>
      </c>
      <c r="O17" s="43" t="n"/>
      <c r="P17" s="36">
        <f>IF(B17="","",IF(OR(J17="G",J17="D"),0,I17)+IF(OR(O17="G",O17="D"),0,N17))</f>
        <v/>
      </c>
      <c r="Q17" s="37">
        <f>IF(OR(B17="",P17=0),"-",RANK.EQ(P17,$P$6:$P$45,0))</f>
        <v/>
      </c>
      <c r="R17" s="43">
        <f>IF(OR(B17="",I17=0),"-",IF(OR(J17="G",J17="D"),IF(J17="G","G","D"),COUNTIF($I$6:$I$45,"&gt;"&amp;I17)+1))</f>
        <v/>
      </c>
      <c r="S17" s="43">
        <f>IF(OR(B17="",N17=0),"-",IF(OR(O17="G",O17="D"),IF(O17="G","G","D"),COUNTIF($N$6:$N$45,"&gt;"&amp;N17)+1))</f>
        <v/>
      </c>
    </row>
    <row r="18">
      <c r="A18" s="29" t="n">
        <v>13</v>
      </c>
      <c r="B18" s="30" t="n"/>
      <c r="C18" s="30" t="n"/>
      <c r="D18" s="31" t="n"/>
      <c r="E18" s="32" t="n"/>
      <c r="F18" s="33" t="n"/>
      <c r="G18" s="33" t="n"/>
      <c r="H18" s="33" t="n"/>
      <c r="I18" s="34">
        <f>IF(OR(J18="G",J18="D"),0,IF(AND(F18="",G18=""),0,MAX(0,IFERROR(F18+0,0)+IFERROR(G18+0,0)-IFERROR(H18+0,0))))</f>
        <v/>
      </c>
      <c r="J18" s="35" t="n"/>
      <c r="K18" s="33" t="n"/>
      <c r="L18" s="33" t="n"/>
      <c r="M18" s="33" t="n"/>
      <c r="N18" s="34">
        <f>IF(OR(O18="G",O18="D"),0,IF(AND(K18="",L18=""),0,MAX(0,IFERROR(K18+0,0)+IFERROR(L18+0,0)-IFERROR(M18+0,0))))</f>
        <v/>
      </c>
      <c r="O18" s="35" t="n"/>
      <c r="P18" s="36">
        <f>IF(B18="","",IF(OR(J18="G",J18="D"),0,I18)+IF(OR(O18="G",O18="D"),0,N18))</f>
        <v/>
      </c>
      <c r="Q18" s="37">
        <f>IF(OR(B18="",P18=0),"-",RANK.EQ(P18,$P$6:$P$45,0))</f>
        <v/>
      </c>
      <c r="R18" s="35">
        <f>IF(OR(B18="",I18=0),"-",IF(OR(J18="G",J18="D"),IF(J18="G","G","D"),COUNTIF($I$6:$I$45,"&gt;"&amp;I18)+1))</f>
        <v/>
      </c>
      <c r="S18" s="35">
        <f>IF(OR(B18="",N18=0),"-",IF(OR(O18="G",O18="D"),IF(O18="G","G","D"),COUNTIF($N$6:$N$45,"&gt;"&amp;N18)+1))</f>
        <v/>
      </c>
    </row>
    <row r="19">
      <c r="A19" s="38" t="n">
        <v>14</v>
      </c>
      <c r="B19" s="39" t="n"/>
      <c r="C19" s="39" t="n"/>
      <c r="D19" s="40" t="n"/>
      <c r="E19" s="41" t="n"/>
      <c r="F19" s="42" t="n"/>
      <c r="G19" s="42" t="n"/>
      <c r="H19" s="42" t="n"/>
      <c r="I19" s="34">
        <f>IF(OR(J19="G",J19="D"),0,IF(AND(F19="",G19=""),0,MAX(0,IFERROR(F19+0,0)+IFERROR(G19+0,0)-IFERROR(H19+0,0))))</f>
        <v/>
      </c>
      <c r="J19" s="43" t="n"/>
      <c r="K19" s="42" t="n"/>
      <c r="L19" s="42" t="n"/>
      <c r="M19" s="42" t="n"/>
      <c r="N19" s="34">
        <f>IF(OR(O19="G",O19="D"),0,IF(AND(K19="",L19=""),0,MAX(0,IFERROR(K19+0,0)+IFERROR(L19+0,0)-IFERROR(M19+0,0))))</f>
        <v/>
      </c>
      <c r="O19" s="43" t="n"/>
      <c r="P19" s="36">
        <f>IF(B19="","",IF(OR(J19="G",J19="D"),0,I19)+IF(OR(O19="G",O19="D"),0,N19))</f>
        <v/>
      </c>
      <c r="Q19" s="37">
        <f>IF(OR(B19="",P19=0),"-",RANK.EQ(P19,$P$6:$P$45,0))</f>
        <v/>
      </c>
      <c r="R19" s="43">
        <f>IF(OR(B19="",I19=0),"-",IF(OR(J19="G",J19="D"),IF(J19="G","G","D"),COUNTIF($I$6:$I$45,"&gt;"&amp;I19)+1))</f>
        <v/>
      </c>
      <c r="S19" s="43">
        <f>IF(OR(B19="",N19=0),"-",IF(OR(O19="G",O19="D"),IF(O19="G","G","D"),COUNTIF($N$6:$N$45,"&gt;"&amp;N19)+1))</f>
        <v/>
      </c>
    </row>
    <row r="20">
      <c r="A20" s="29" t="n">
        <v>15</v>
      </c>
      <c r="B20" s="30" t="n"/>
      <c r="C20" s="30" t="n"/>
      <c r="D20" s="31" t="n"/>
      <c r="E20" s="32" t="n"/>
      <c r="F20" s="33" t="n"/>
      <c r="G20" s="33" t="n"/>
      <c r="H20" s="33" t="n"/>
      <c r="I20" s="34">
        <f>IF(OR(J20="G",J20="D"),0,IF(AND(F20="",G20=""),0,MAX(0,IFERROR(F20+0,0)+IFERROR(G20+0,0)-IFERROR(H20+0,0))))</f>
        <v/>
      </c>
      <c r="J20" s="35" t="n"/>
      <c r="K20" s="33" t="n"/>
      <c r="L20" s="33" t="n"/>
      <c r="M20" s="33" t="n"/>
      <c r="N20" s="34">
        <f>IF(OR(O20="G",O20="D"),0,IF(AND(K20="",L20=""),0,MAX(0,IFERROR(K20+0,0)+IFERROR(L20+0,0)-IFERROR(M20+0,0))))</f>
        <v/>
      </c>
      <c r="O20" s="35" t="n"/>
      <c r="P20" s="36">
        <f>IF(B20="","",IF(OR(J20="G",J20="D"),0,I20)+IF(OR(O20="G",O20="D"),0,N20))</f>
        <v/>
      </c>
      <c r="Q20" s="37">
        <f>IF(OR(B20="",P20=0),"-",RANK.EQ(P20,$P$6:$P$45,0))</f>
        <v/>
      </c>
      <c r="R20" s="35">
        <f>IF(OR(B20="",I20=0),"-",IF(OR(J20="G",J20="D"),IF(J20="G","G","D"),COUNTIF($I$6:$I$45,"&gt;"&amp;I20)+1))</f>
        <v/>
      </c>
      <c r="S20" s="35">
        <f>IF(OR(B20="",N20=0),"-",IF(OR(O20="G",O20="D"),IF(O20="G","G","D"),COUNTIF($N$6:$N$45,"&gt;"&amp;N20)+1))</f>
        <v/>
      </c>
    </row>
    <row r="21">
      <c r="A21" s="38" t="n">
        <v>16</v>
      </c>
      <c r="B21" s="39" t="n"/>
      <c r="C21" s="39" t="n"/>
      <c r="D21" s="40" t="n"/>
      <c r="E21" s="41" t="n"/>
      <c r="F21" s="42" t="n"/>
      <c r="G21" s="42" t="n"/>
      <c r="H21" s="42" t="n"/>
      <c r="I21" s="34">
        <f>IF(OR(J21="G",J21="D"),0,IF(AND(F21="",G21=""),0,MAX(0,IFERROR(F21+0,0)+IFERROR(G21+0,0)-IFERROR(H21+0,0))))</f>
        <v/>
      </c>
      <c r="J21" s="43" t="n"/>
      <c r="K21" s="42" t="n"/>
      <c r="L21" s="42" t="n"/>
      <c r="M21" s="42" t="n"/>
      <c r="N21" s="34">
        <f>IF(OR(O21="G",O21="D"),0,IF(AND(K21="",L21=""),0,MAX(0,IFERROR(K21+0,0)+IFERROR(L21+0,0)-IFERROR(M21+0,0))))</f>
        <v/>
      </c>
      <c r="O21" s="43" t="n"/>
      <c r="P21" s="36">
        <f>IF(B21="","",IF(OR(J21="G",J21="D"),0,I21)+IF(OR(O21="G",O21="D"),0,N21))</f>
        <v/>
      </c>
      <c r="Q21" s="37">
        <f>IF(OR(B21="",P21=0),"-",RANK.EQ(P21,$P$6:$P$45,0))</f>
        <v/>
      </c>
      <c r="R21" s="43">
        <f>IF(OR(B21="",I21=0),"-",IF(OR(J21="G",J21="D"),IF(J21="G","G","D"),COUNTIF($I$6:$I$45,"&gt;"&amp;I21)+1))</f>
        <v/>
      </c>
      <c r="S21" s="43">
        <f>IF(OR(B21="",N21=0),"-",IF(OR(O21="G",O21="D"),IF(O21="G","G","D"),COUNTIF($N$6:$N$45,"&gt;"&amp;N21)+1))</f>
        <v/>
      </c>
    </row>
    <row r="22">
      <c r="A22" s="29" t="n">
        <v>17</v>
      </c>
      <c r="B22" s="30" t="n"/>
      <c r="C22" s="30" t="n"/>
      <c r="D22" s="31" t="n"/>
      <c r="E22" s="32" t="n"/>
      <c r="F22" s="33" t="n"/>
      <c r="G22" s="33" t="n"/>
      <c r="H22" s="33" t="n"/>
      <c r="I22" s="34">
        <f>IF(OR(J22="G",J22="D"),0,IF(AND(F22="",G22=""),0,MAX(0,IFERROR(F22+0,0)+IFERROR(G22+0,0)-IFERROR(H22+0,0))))</f>
        <v/>
      </c>
      <c r="J22" s="35" t="n"/>
      <c r="K22" s="33" t="n"/>
      <c r="L22" s="33" t="n"/>
      <c r="M22" s="33" t="n"/>
      <c r="N22" s="34">
        <f>IF(OR(O22="G",O22="D"),0,IF(AND(K22="",L22=""),0,MAX(0,IFERROR(K22+0,0)+IFERROR(L22+0,0)-IFERROR(M22+0,0))))</f>
        <v/>
      </c>
      <c r="O22" s="35" t="n"/>
      <c r="P22" s="36">
        <f>IF(B22="","",IF(OR(J22="G",J22="D"),0,I22)+IF(OR(O22="G",O22="D"),0,N22))</f>
        <v/>
      </c>
      <c r="Q22" s="37">
        <f>IF(OR(B22="",P22=0),"-",RANK.EQ(P22,$P$6:$P$45,0))</f>
        <v/>
      </c>
      <c r="R22" s="35">
        <f>IF(OR(B22="",I22=0),"-",IF(OR(J22="G",J22="D"),IF(J22="G","G","D"),COUNTIF($I$6:$I$45,"&gt;"&amp;I22)+1))</f>
        <v/>
      </c>
      <c r="S22" s="35">
        <f>IF(OR(B22="",N22=0),"-",IF(OR(O22="G",O22="D"),IF(O22="G","G","D"),COUNTIF($N$6:$N$45,"&gt;"&amp;N22)+1))</f>
        <v/>
      </c>
    </row>
    <row r="23">
      <c r="A23" s="38" t="n">
        <v>18</v>
      </c>
      <c r="B23" s="39" t="n"/>
      <c r="C23" s="39" t="n"/>
      <c r="D23" s="40" t="n"/>
      <c r="E23" s="41" t="n"/>
      <c r="F23" s="42" t="n"/>
      <c r="G23" s="42" t="n"/>
      <c r="H23" s="42" t="n"/>
      <c r="I23" s="34">
        <f>IF(OR(J23="G",J23="D"),0,IF(AND(F23="",G23=""),0,MAX(0,IFERROR(F23+0,0)+IFERROR(G23+0,0)-IFERROR(H23+0,0))))</f>
        <v/>
      </c>
      <c r="J23" s="43" t="n"/>
      <c r="K23" s="42" t="n"/>
      <c r="L23" s="42" t="n"/>
      <c r="M23" s="42" t="n"/>
      <c r="N23" s="34">
        <f>IF(OR(O23="G",O23="D"),0,IF(AND(K23="",L23=""),0,MAX(0,IFERROR(K23+0,0)+IFERROR(L23+0,0)-IFERROR(M23+0,0))))</f>
        <v/>
      </c>
      <c r="O23" s="43" t="n"/>
      <c r="P23" s="36">
        <f>IF(B23="","",IF(OR(J23="G",J23="D"),0,I23)+IF(OR(O23="G",O23="D"),0,N23))</f>
        <v/>
      </c>
      <c r="Q23" s="37">
        <f>IF(OR(B23="",P23=0),"-",RANK.EQ(P23,$P$6:$P$45,0))</f>
        <v/>
      </c>
      <c r="R23" s="43">
        <f>IF(OR(B23="",I23=0),"-",IF(OR(J23="G",J23="D"),IF(J23="G","G","D"),COUNTIF($I$6:$I$45,"&gt;"&amp;I23)+1))</f>
        <v/>
      </c>
      <c r="S23" s="43">
        <f>IF(OR(B23="",N23=0),"-",IF(OR(O23="G",O23="D"),IF(O23="G","G","D"),COUNTIF($N$6:$N$45,"&gt;"&amp;N23)+1))</f>
        <v/>
      </c>
    </row>
    <row r="24">
      <c r="A24" s="29" t="n">
        <v>19</v>
      </c>
      <c r="B24" s="30" t="n"/>
      <c r="C24" s="30" t="n"/>
      <c r="D24" s="31" t="n"/>
      <c r="E24" s="32" t="n"/>
      <c r="F24" s="33" t="n"/>
      <c r="G24" s="33" t="n"/>
      <c r="H24" s="33" t="n"/>
      <c r="I24" s="34">
        <f>IF(OR(J24="G",J24="D"),0,IF(AND(F24="",G24=""),0,MAX(0,IFERROR(F24+0,0)+IFERROR(G24+0,0)-IFERROR(H24+0,0))))</f>
        <v/>
      </c>
      <c r="J24" s="35" t="n"/>
      <c r="K24" s="33" t="n"/>
      <c r="L24" s="33" t="n"/>
      <c r="M24" s="33" t="n"/>
      <c r="N24" s="34">
        <f>IF(OR(O24="G",O24="D"),0,IF(AND(K24="",L24=""),0,MAX(0,IFERROR(K24+0,0)+IFERROR(L24+0,0)-IFERROR(M24+0,0))))</f>
        <v/>
      </c>
      <c r="O24" s="35" t="n"/>
      <c r="P24" s="36">
        <f>IF(B24="","",IF(OR(J24="G",J24="D"),0,I24)+IF(OR(O24="G",O24="D"),0,N24))</f>
        <v/>
      </c>
      <c r="Q24" s="37">
        <f>IF(OR(B24="",P24=0),"-",RANK.EQ(P24,$P$6:$P$45,0))</f>
        <v/>
      </c>
      <c r="R24" s="35">
        <f>IF(OR(B24="",I24=0),"-",IF(OR(J24="G",J24="D"),IF(J24="G","G","D"),COUNTIF($I$6:$I$45,"&gt;"&amp;I24)+1))</f>
        <v/>
      </c>
      <c r="S24" s="35">
        <f>IF(OR(B24="",N24=0),"-",IF(OR(O24="G",O24="D"),IF(O24="G","G","D"),COUNTIF($N$6:$N$45,"&gt;"&amp;N24)+1))</f>
        <v/>
      </c>
    </row>
    <row r="25">
      <c r="A25" s="38" t="n">
        <v>20</v>
      </c>
      <c r="B25" s="39" t="n"/>
      <c r="C25" s="39" t="n"/>
      <c r="D25" s="40" t="n"/>
      <c r="E25" s="41" t="n"/>
      <c r="F25" s="42" t="n"/>
      <c r="G25" s="42" t="n"/>
      <c r="H25" s="42" t="n"/>
      <c r="I25" s="34">
        <f>IF(OR(J25="G",J25="D"),0,IF(AND(F25="",G25=""),0,MAX(0,IFERROR(F25+0,0)+IFERROR(G25+0,0)-IFERROR(H25+0,0))))</f>
        <v/>
      </c>
      <c r="J25" s="43" t="n"/>
      <c r="K25" s="42" t="n"/>
      <c r="L25" s="42" t="n"/>
      <c r="M25" s="42" t="n"/>
      <c r="N25" s="34">
        <f>IF(OR(O25="G",O25="D"),0,IF(AND(K25="",L25=""),0,MAX(0,IFERROR(K25+0,0)+IFERROR(L25+0,0)-IFERROR(M25+0,0))))</f>
        <v/>
      </c>
      <c r="O25" s="43" t="n"/>
      <c r="P25" s="36">
        <f>IF(B25="","",IF(OR(J25="G",J25="D"),0,I25)+IF(OR(O25="G",O25="D"),0,N25))</f>
        <v/>
      </c>
      <c r="Q25" s="37">
        <f>IF(OR(B25="",P25=0),"-",RANK.EQ(P25,$P$6:$P$45,0))</f>
        <v/>
      </c>
      <c r="R25" s="43">
        <f>IF(OR(B25="",I25=0),"-",IF(OR(J25="G",J25="D"),IF(J25="G","G","D"),COUNTIF($I$6:$I$45,"&gt;"&amp;I25)+1))</f>
        <v/>
      </c>
      <c r="S25" s="43">
        <f>IF(OR(B25="",N25=0),"-",IF(OR(O25="G",O25="D"),IF(O25="G","G","D"),COUNTIF($N$6:$N$45,"&gt;"&amp;N25)+1))</f>
        <v/>
      </c>
    </row>
    <row r="26">
      <c r="A26" s="29" t="n">
        <v>21</v>
      </c>
      <c r="B26" s="30" t="n"/>
      <c r="C26" s="30" t="n"/>
      <c r="D26" s="31" t="n"/>
      <c r="E26" s="32" t="n"/>
      <c r="F26" s="33" t="n"/>
      <c r="G26" s="33" t="n"/>
      <c r="H26" s="33" t="n"/>
      <c r="I26" s="34">
        <f>IF(OR(J26="G",J26="D"),0,IF(AND(F26="",G26=""),0,MAX(0,IFERROR(F26+0,0)+IFERROR(G26+0,0)-IFERROR(H26+0,0))))</f>
        <v/>
      </c>
      <c r="J26" s="35" t="n"/>
      <c r="K26" s="33" t="n"/>
      <c r="L26" s="33" t="n"/>
      <c r="M26" s="33" t="n"/>
      <c r="N26" s="34">
        <f>IF(OR(O26="G",O26="D"),0,IF(AND(K26="",L26=""),0,MAX(0,IFERROR(K26+0,0)+IFERROR(L26+0,0)-IFERROR(M26+0,0))))</f>
        <v/>
      </c>
      <c r="O26" s="35" t="n"/>
      <c r="P26" s="36">
        <f>IF(B26="","",IF(OR(J26="G",J26="D"),0,I26)+IF(OR(O26="G",O26="D"),0,N26))</f>
        <v/>
      </c>
      <c r="Q26" s="37">
        <f>IF(OR(B26="",P26=0),"-",RANK.EQ(P26,$P$6:$P$45,0))</f>
        <v/>
      </c>
      <c r="R26" s="35">
        <f>IF(OR(B26="",I26=0),"-",IF(OR(J26="G",J26="D"),IF(J26="G","G","D"),COUNTIF($I$6:$I$45,"&gt;"&amp;I26)+1))</f>
        <v/>
      </c>
      <c r="S26" s="35">
        <f>IF(OR(B26="",N26=0),"-",IF(OR(O26="G",O26="D"),IF(O26="G","G","D"),COUNTIF($N$6:$N$45,"&gt;"&amp;N26)+1))</f>
        <v/>
      </c>
    </row>
    <row r="27">
      <c r="A27" s="38" t="n">
        <v>22</v>
      </c>
      <c r="B27" s="39" t="n"/>
      <c r="C27" s="39" t="n"/>
      <c r="D27" s="40" t="n"/>
      <c r="E27" s="41" t="n"/>
      <c r="F27" s="42" t="n"/>
      <c r="G27" s="42" t="n"/>
      <c r="H27" s="42" t="n"/>
      <c r="I27" s="34">
        <f>IF(OR(J27="G",J27="D"),0,IF(AND(F27="",G27=""),0,MAX(0,IFERROR(F27+0,0)+IFERROR(G27+0,0)-IFERROR(H27+0,0))))</f>
        <v/>
      </c>
      <c r="J27" s="43" t="n"/>
      <c r="K27" s="42" t="n"/>
      <c r="L27" s="42" t="n"/>
      <c r="M27" s="42" t="n"/>
      <c r="N27" s="34">
        <f>IF(OR(O27="G",O27="D"),0,IF(AND(K27="",L27=""),0,MAX(0,IFERROR(K27+0,0)+IFERROR(L27+0,0)-IFERROR(M27+0,0))))</f>
        <v/>
      </c>
      <c r="O27" s="43" t="n"/>
      <c r="P27" s="36">
        <f>IF(B27="","",IF(OR(J27="G",J27="D"),0,I27)+IF(OR(O27="G",O27="D"),0,N27))</f>
        <v/>
      </c>
      <c r="Q27" s="37">
        <f>IF(OR(B27="",P27=0),"-",RANK.EQ(P27,$P$6:$P$45,0))</f>
        <v/>
      </c>
      <c r="R27" s="43">
        <f>IF(OR(B27="",I27=0),"-",IF(OR(J27="G",J27="D"),IF(J27="G","G","D"),COUNTIF($I$6:$I$45,"&gt;"&amp;I27)+1))</f>
        <v/>
      </c>
      <c r="S27" s="43">
        <f>IF(OR(B27="",N27=0),"-",IF(OR(O27="G",O27="D"),IF(O27="G","G","D"),COUNTIF($N$6:$N$45,"&gt;"&amp;N27)+1))</f>
        <v/>
      </c>
    </row>
    <row r="28">
      <c r="A28" s="29" t="n">
        <v>23</v>
      </c>
      <c r="B28" s="30" t="n"/>
      <c r="C28" s="30" t="n"/>
      <c r="D28" s="31" t="n"/>
      <c r="E28" s="32" t="n"/>
      <c r="F28" s="33" t="n"/>
      <c r="G28" s="33" t="n"/>
      <c r="H28" s="33" t="n"/>
      <c r="I28" s="34">
        <f>IF(OR(J28="G",J28="D"),0,IF(AND(F28="",G28=""),0,MAX(0,IFERROR(F28+0,0)+IFERROR(G28+0,0)-IFERROR(H28+0,0))))</f>
        <v/>
      </c>
      <c r="J28" s="35" t="n"/>
      <c r="K28" s="33" t="n"/>
      <c r="L28" s="33" t="n"/>
      <c r="M28" s="33" t="n"/>
      <c r="N28" s="34">
        <f>IF(OR(O28="G",O28="D"),0,IF(AND(K28="",L28=""),0,MAX(0,IFERROR(K28+0,0)+IFERROR(L28+0,0)-IFERROR(M28+0,0))))</f>
        <v/>
      </c>
      <c r="O28" s="35" t="n"/>
      <c r="P28" s="36">
        <f>IF(B28="","",IF(OR(J28="G",J28="D"),0,I28)+IF(OR(O28="G",O28="D"),0,N28))</f>
        <v/>
      </c>
      <c r="Q28" s="37">
        <f>IF(OR(B28="",P28=0),"-",RANK.EQ(P28,$P$6:$P$45,0))</f>
        <v/>
      </c>
      <c r="R28" s="35">
        <f>IF(OR(B28="",I28=0),"-",IF(OR(J28="G",J28="D"),IF(J28="G","G","D"),COUNTIF($I$6:$I$45,"&gt;"&amp;I28)+1))</f>
        <v/>
      </c>
      <c r="S28" s="35">
        <f>IF(OR(B28="",N28=0),"-",IF(OR(O28="G",O28="D"),IF(O28="G","G","D"),COUNTIF($N$6:$N$45,"&gt;"&amp;N28)+1))</f>
        <v/>
      </c>
    </row>
    <row r="29">
      <c r="A29" s="38" t="n">
        <v>24</v>
      </c>
      <c r="B29" s="39" t="n"/>
      <c r="C29" s="39" t="n"/>
      <c r="D29" s="40" t="n"/>
      <c r="E29" s="41" t="n"/>
      <c r="F29" s="42" t="n"/>
      <c r="G29" s="42" t="n"/>
      <c r="H29" s="42" t="n"/>
      <c r="I29" s="34">
        <f>IF(OR(J29="G",J29="D"),0,IF(AND(F29="",G29=""),0,MAX(0,IFERROR(F29+0,0)+IFERROR(G29+0,0)-IFERROR(H29+0,0))))</f>
        <v/>
      </c>
      <c r="J29" s="43" t="n"/>
      <c r="K29" s="42" t="n"/>
      <c r="L29" s="42" t="n"/>
      <c r="M29" s="42" t="n"/>
      <c r="N29" s="34">
        <f>IF(OR(O29="G",O29="D"),0,IF(AND(K29="",L29=""),0,MAX(0,IFERROR(K29+0,0)+IFERROR(L29+0,0)-IFERROR(M29+0,0))))</f>
        <v/>
      </c>
      <c r="O29" s="43" t="n"/>
      <c r="P29" s="36">
        <f>IF(B29="","",IF(OR(J29="G",J29="D"),0,I29)+IF(OR(O29="G",O29="D"),0,N29))</f>
        <v/>
      </c>
      <c r="Q29" s="37">
        <f>IF(OR(B29="",P29=0),"-",RANK.EQ(P29,$P$6:$P$45,0))</f>
        <v/>
      </c>
      <c r="R29" s="43">
        <f>IF(OR(B29="",I29=0),"-",IF(OR(J29="G",J29="D"),IF(J29="G","G","D"),COUNTIF($I$6:$I$45,"&gt;"&amp;I29)+1))</f>
        <v/>
      </c>
      <c r="S29" s="43">
        <f>IF(OR(B29="",N29=0),"-",IF(OR(O29="G",O29="D"),IF(O29="G","G","D"),COUNTIF($N$6:$N$45,"&gt;"&amp;N29)+1))</f>
        <v/>
      </c>
    </row>
    <row r="30">
      <c r="A30" s="29" t="n">
        <v>25</v>
      </c>
      <c r="B30" s="30" t="n"/>
      <c r="C30" s="30" t="n"/>
      <c r="D30" s="31" t="n"/>
      <c r="E30" s="32" t="n"/>
      <c r="F30" s="33" t="n"/>
      <c r="G30" s="33" t="n"/>
      <c r="H30" s="33" t="n"/>
      <c r="I30" s="34">
        <f>IF(OR(J30="G",J30="D"),0,IF(AND(F30="",G30=""),0,MAX(0,IFERROR(F30+0,0)+IFERROR(G30+0,0)-IFERROR(H30+0,0))))</f>
        <v/>
      </c>
      <c r="J30" s="35" t="n"/>
      <c r="K30" s="33" t="n"/>
      <c r="L30" s="33" t="n"/>
      <c r="M30" s="33" t="n"/>
      <c r="N30" s="34">
        <f>IF(OR(O30="G",O30="D"),0,IF(AND(K30="",L30=""),0,MAX(0,IFERROR(K30+0,0)+IFERROR(L30+0,0)-IFERROR(M30+0,0))))</f>
        <v/>
      </c>
      <c r="O30" s="35" t="n"/>
      <c r="P30" s="36">
        <f>IF(B30="","",IF(OR(J30="G",J30="D"),0,I30)+IF(OR(O30="G",O30="D"),0,N30))</f>
        <v/>
      </c>
      <c r="Q30" s="37">
        <f>IF(OR(B30="",P30=0),"-",RANK.EQ(P30,$P$6:$P$45,0))</f>
        <v/>
      </c>
      <c r="R30" s="35">
        <f>IF(OR(B30="",I30=0),"-",IF(OR(J30="G",J30="D"),IF(J30="G","G","D"),COUNTIF($I$6:$I$45,"&gt;"&amp;I30)+1))</f>
        <v/>
      </c>
      <c r="S30" s="35">
        <f>IF(OR(B30="",N30=0),"-",IF(OR(O30="G",O30="D"),IF(O30="G","G","D"),COUNTIF($N$6:$N$45,"&gt;"&amp;N30)+1))</f>
        <v/>
      </c>
    </row>
    <row r="31">
      <c r="A31" s="38" t="n">
        <v>26</v>
      </c>
      <c r="B31" s="39" t="n"/>
      <c r="C31" s="39" t="n"/>
      <c r="D31" s="40" t="n"/>
      <c r="E31" s="41" t="n"/>
      <c r="F31" s="42" t="n"/>
      <c r="G31" s="42" t="n"/>
      <c r="H31" s="42" t="n"/>
      <c r="I31" s="34">
        <f>IF(OR(J31="G",J31="D"),0,IF(AND(F31="",G31=""),0,MAX(0,IFERROR(F31+0,0)+IFERROR(G31+0,0)-IFERROR(H31+0,0))))</f>
        <v/>
      </c>
      <c r="J31" s="43" t="n"/>
      <c r="K31" s="42" t="n"/>
      <c r="L31" s="42" t="n"/>
      <c r="M31" s="42" t="n"/>
      <c r="N31" s="34">
        <f>IF(OR(O31="G",O31="D"),0,IF(AND(K31="",L31=""),0,MAX(0,IFERROR(K31+0,0)+IFERROR(L31+0,0)-IFERROR(M31+0,0))))</f>
        <v/>
      </c>
      <c r="O31" s="43" t="n"/>
      <c r="P31" s="36">
        <f>IF(B31="","",IF(OR(J31="G",J31="D"),0,I31)+IF(OR(O31="G",O31="D"),0,N31))</f>
        <v/>
      </c>
      <c r="Q31" s="37">
        <f>IF(OR(B31="",P31=0),"-",RANK.EQ(P31,$P$6:$P$45,0))</f>
        <v/>
      </c>
      <c r="R31" s="43">
        <f>IF(OR(B31="",I31=0),"-",IF(OR(J31="G",J31="D"),IF(J31="G","G","D"),COUNTIF($I$6:$I$45,"&gt;"&amp;I31)+1))</f>
        <v/>
      </c>
      <c r="S31" s="43">
        <f>IF(OR(B31="",N31=0),"-",IF(OR(O31="G",O31="D"),IF(O31="G","G","D"),COUNTIF($N$6:$N$45,"&gt;"&amp;N31)+1))</f>
        <v/>
      </c>
    </row>
    <row r="32">
      <c r="A32" s="29" t="n">
        <v>27</v>
      </c>
      <c r="B32" s="30" t="n"/>
      <c r="C32" s="30" t="n"/>
      <c r="D32" s="31" t="n"/>
      <c r="E32" s="32" t="n"/>
      <c r="F32" s="33" t="n"/>
      <c r="G32" s="33" t="n"/>
      <c r="H32" s="33" t="n"/>
      <c r="I32" s="34">
        <f>IF(OR(J32="G",J32="D"),0,IF(AND(F32="",G32=""),0,MAX(0,IFERROR(F32+0,0)+IFERROR(G32+0,0)-IFERROR(H32+0,0))))</f>
        <v/>
      </c>
      <c r="J32" s="35" t="n"/>
      <c r="K32" s="33" t="n"/>
      <c r="L32" s="33" t="n"/>
      <c r="M32" s="33" t="n"/>
      <c r="N32" s="34">
        <f>IF(OR(O32="G",O32="D"),0,IF(AND(K32="",L32=""),0,MAX(0,IFERROR(K32+0,0)+IFERROR(L32+0,0)-IFERROR(M32+0,0))))</f>
        <v/>
      </c>
      <c r="O32" s="35" t="n"/>
      <c r="P32" s="36">
        <f>IF(B32="","",IF(OR(J32="G",J32="D"),0,I32)+IF(OR(O32="G",O32="D"),0,N32))</f>
        <v/>
      </c>
      <c r="Q32" s="37">
        <f>IF(OR(B32="",P32=0),"-",RANK.EQ(P32,$P$6:$P$45,0))</f>
        <v/>
      </c>
      <c r="R32" s="35">
        <f>IF(OR(B32="",I32=0),"-",IF(OR(J32="G",J32="D"),IF(J32="G","G","D"),COUNTIF($I$6:$I$45,"&gt;"&amp;I32)+1))</f>
        <v/>
      </c>
      <c r="S32" s="35">
        <f>IF(OR(B32="",N32=0),"-",IF(OR(O32="G",O32="D"),IF(O32="G","G","D"),COUNTIF($N$6:$N$45,"&gt;"&amp;N32)+1))</f>
        <v/>
      </c>
    </row>
    <row r="33">
      <c r="A33" s="38" t="n">
        <v>28</v>
      </c>
      <c r="B33" s="39" t="n"/>
      <c r="C33" s="39" t="n"/>
      <c r="D33" s="40" t="n"/>
      <c r="E33" s="41" t="n"/>
      <c r="F33" s="42" t="n"/>
      <c r="G33" s="42" t="n"/>
      <c r="H33" s="42" t="n"/>
      <c r="I33" s="34">
        <f>IF(OR(J33="G",J33="D"),0,IF(AND(F33="",G33=""),0,MAX(0,IFERROR(F33+0,0)+IFERROR(G33+0,0)-IFERROR(H33+0,0))))</f>
        <v/>
      </c>
      <c r="J33" s="43" t="n"/>
      <c r="K33" s="42" t="n"/>
      <c r="L33" s="42" t="n"/>
      <c r="M33" s="42" t="n"/>
      <c r="N33" s="34">
        <f>IF(OR(O33="G",O33="D"),0,IF(AND(K33="",L33=""),0,MAX(0,IFERROR(K33+0,0)+IFERROR(L33+0,0)-IFERROR(M33+0,0))))</f>
        <v/>
      </c>
      <c r="O33" s="43" t="n"/>
      <c r="P33" s="36">
        <f>IF(B33="","",IF(OR(J33="G",J33="D"),0,I33)+IF(OR(O33="G",O33="D"),0,N33))</f>
        <v/>
      </c>
      <c r="Q33" s="37">
        <f>IF(OR(B33="",P33=0),"-",RANK.EQ(P33,$P$6:$P$45,0))</f>
        <v/>
      </c>
      <c r="R33" s="43">
        <f>IF(OR(B33="",I33=0),"-",IF(OR(J33="G",J33="D"),IF(J33="G","G","D"),COUNTIF($I$6:$I$45,"&gt;"&amp;I33)+1))</f>
        <v/>
      </c>
      <c r="S33" s="43">
        <f>IF(OR(B33="",N33=0),"-",IF(OR(O33="G",O33="D"),IF(O33="G","G","D"),COUNTIF($N$6:$N$45,"&gt;"&amp;N33)+1))</f>
        <v/>
      </c>
    </row>
    <row r="34">
      <c r="A34" s="29" t="n">
        <v>29</v>
      </c>
      <c r="B34" s="30" t="n"/>
      <c r="C34" s="30" t="n"/>
      <c r="D34" s="31" t="n"/>
      <c r="E34" s="32" t="n"/>
      <c r="F34" s="33" t="n"/>
      <c r="G34" s="33" t="n"/>
      <c r="H34" s="33" t="n"/>
      <c r="I34" s="34">
        <f>IF(OR(J34="G",J34="D"),0,IF(AND(F34="",G34=""),0,MAX(0,IFERROR(F34+0,0)+IFERROR(G34+0,0)-IFERROR(H34+0,0))))</f>
        <v/>
      </c>
      <c r="J34" s="35" t="n"/>
      <c r="K34" s="33" t="n"/>
      <c r="L34" s="33" t="n"/>
      <c r="M34" s="33" t="n"/>
      <c r="N34" s="34">
        <f>IF(OR(O34="G",O34="D"),0,IF(AND(K34="",L34=""),0,MAX(0,IFERROR(K34+0,0)+IFERROR(L34+0,0)-IFERROR(M34+0,0))))</f>
        <v/>
      </c>
      <c r="O34" s="35" t="n"/>
      <c r="P34" s="36">
        <f>IF(B34="","",IF(OR(J34="G",J34="D"),0,I34)+IF(OR(O34="G",O34="D"),0,N34))</f>
        <v/>
      </c>
      <c r="Q34" s="37">
        <f>IF(OR(B34="",P34=0),"-",RANK.EQ(P34,$P$6:$P$45,0))</f>
        <v/>
      </c>
      <c r="R34" s="35">
        <f>IF(OR(B34="",I34=0),"-",IF(OR(J34="G",J34="D"),IF(J34="G","G","D"),COUNTIF($I$6:$I$45,"&gt;"&amp;I34)+1))</f>
        <v/>
      </c>
      <c r="S34" s="35">
        <f>IF(OR(B34="",N34=0),"-",IF(OR(O34="G",O34="D"),IF(O34="G","G","D"),COUNTIF($N$6:$N$45,"&gt;"&amp;N34)+1))</f>
        <v/>
      </c>
    </row>
    <row r="35">
      <c r="A35" s="38" t="n">
        <v>30</v>
      </c>
      <c r="B35" s="39" t="n"/>
      <c r="C35" s="39" t="n"/>
      <c r="D35" s="40" t="n"/>
      <c r="E35" s="41" t="n"/>
      <c r="F35" s="42" t="n"/>
      <c r="G35" s="42" t="n"/>
      <c r="H35" s="42" t="n"/>
      <c r="I35" s="34">
        <f>IF(OR(J35="G",J35="D"),0,IF(AND(F35="",G35=""),0,MAX(0,IFERROR(F35+0,0)+IFERROR(G35+0,0)-IFERROR(H35+0,0))))</f>
        <v/>
      </c>
      <c r="J35" s="43" t="n"/>
      <c r="K35" s="42" t="n"/>
      <c r="L35" s="42" t="n"/>
      <c r="M35" s="42" t="n"/>
      <c r="N35" s="34">
        <f>IF(OR(O35="G",O35="D"),0,IF(AND(K35="",L35=""),0,MAX(0,IFERROR(K35+0,0)+IFERROR(L35+0,0)-IFERROR(M35+0,0))))</f>
        <v/>
      </c>
      <c r="O35" s="43" t="n"/>
      <c r="P35" s="36">
        <f>IF(B35="","",IF(OR(J35="G",J35="D"),0,I35)+IF(OR(O35="G",O35="D"),0,N35))</f>
        <v/>
      </c>
      <c r="Q35" s="37">
        <f>IF(OR(B35="",P35=0),"-",RANK.EQ(P35,$P$6:$P$45,0))</f>
        <v/>
      </c>
      <c r="R35" s="43">
        <f>IF(OR(B35="",I35=0),"-",IF(OR(J35="G",J35="D"),IF(J35="G","G","D"),COUNTIF($I$6:$I$45,"&gt;"&amp;I35)+1))</f>
        <v/>
      </c>
      <c r="S35" s="43">
        <f>IF(OR(B35="",N35=0),"-",IF(OR(O35="G",O35="D"),IF(O35="G","G","D"),COUNTIF($N$6:$N$45,"&gt;"&amp;N35)+1))</f>
        <v/>
      </c>
    </row>
    <row r="36">
      <c r="A36" s="29" t="n">
        <v>31</v>
      </c>
      <c r="B36" s="30" t="n"/>
      <c r="C36" s="30" t="n"/>
      <c r="D36" s="31" t="n"/>
      <c r="E36" s="32" t="n"/>
      <c r="F36" s="33" t="n"/>
      <c r="G36" s="33" t="n"/>
      <c r="H36" s="33" t="n"/>
      <c r="I36" s="34">
        <f>IF(OR(J36="G",J36="D"),0,IF(AND(F36="",G36=""),0,MAX(0,IFERROR(F36+0,0)+IFERROR(G36+0,0)-IFERROR(H36+0,0))))</f>
        <v/>
      </c>
      <c r="J36" s="35" t="n"/>
      <c r="K36" s="33" t="n"/>
      <c r="L36" s="33" t="n"/>
      <c r="M36" s="33" t="n"/>
      <c r="N36" s="34">
        <f>IF(OR(O36="G",O36="D"),0,IF(AND(K36="",L36=""),0,MAX(0,IFERROR(K36+0,0)+IFERROR(L36+0,0)-IFERROR(M36+0,0))))</f>
        <v/>
      </c>
      <c r="O36" s="35" t="n"/>
      <c r="P36" s="36">
        <f>IF(B36="","",IF(OR(J36="G",J36="D"),0,I36)+IF(OR(O36="G",O36="D"),0,N36))</f>
        <v/>
      </c>
      <c r="Q36" s="37">
        <f>IF(OR(B36="",P36=0),"-",RANK.EQ(P36,$P$6:$P$45,0))</f>
        <v/>
      </c>
      <c r="R36" s="35">
        <f>IF(OR(B36="",I36=0),"-",IF(OR(J36="G",J36="D"),IF(J36="G","G","D"),COUNTIF($I$6:$I$45,"&gt;"&amp;I36)+1))</f>
        <v/>
      </c>
      <c r="S36" s="35">
        <f>IF(OR(B36="",N36=0),"-",IF(OR(O36="G",O36="D"),IF(O36="G","G","D"),COUNTIF($N$6:$N$45,"&gt;"&amp;N36)+1))</f>
        <v/>
      </c>
    </row>
    <row r="37">
      <c r="A37" s="38" t="n">
        <v>32</v>
      </c>
      <c r="B37" s="39" t="n"/>
      <c r="C37" s="39" t="n"/>
      <c r="D37" s="40" t="n"/>
      <c r="E37" s="41" t="n"/>
      <c r="F37" s="42" t="n"/>
      <c r="G37" s="42" t="n"/>
      <c r="H37" s="42" t="n"/>
      <c r="I37" s="34">
        <f>IF(OR(J37="G",J37="D"),0,IF(AND(F37="",G37=""),0,MAX(0,IFERROR(F37+0,0)+IFERROR(G37+0,0)-IFERROR(H37+0,0))))</f>
        <v/>
      </c>
      <c r="J37" s="43" t="n"/>
      <c r="K37" s="42" t="n"/>
      <c r="L37" s="42" t="n"/>
      <c r="M37" s="42" t="n"/>
      <c r="N37" s="34">
        <f>IF(OR(O37="G",O37="D"),0,IF(AND(K37="",L37=""),0,MAX(0,IFERROR(K37+0,0)+IFERROR(L37+0,0)-IFERROR(M37+0,0))))</f>
        <v/>
      </c>
      <c r="O37" s="43" t="n"/>
      <c r="P37" s="36">
        <f>IF(B37="","",IF(OR(J37="G",J37="D"),0,I37)+IF(OR(O37="G",O37="D"),0,N37))</f>
        <v/>
      </c>
      <c r="Q37" s="37">
        <f>IF(OR(B37="",P37=0),"-",RANK.EQ(P37,$P$6:$P$45,0))</f>
        <v/>
      </c>
      <c r="R37" s="43">
        <f>IF(OR(B37="",I37=0),"-",IF(OR(J37="G",J37="D"),IF(J37="G","G","D"),COUNTIF($I$6:$I$45,"&gt;"&amp;I37)+1))</f>
        <v/>
      </c>
      <c r="S37" s="43">
        <f>IF(OR(B37="",N37=0),"-",IF(OR(O37="G",O37="D"),IF(O37="G","G","D"),COUNTIF($N$6:$N$45,"&gt;"&amp;N37)+1))</f>
        <v/>
      </c>
    </row>
    <row r="38">
      <c r="A38" s="29" t="n">
        <v>33</v>
      </c>
      <c r="B38" s="30" t="n"/>
      <c r="C38" s="30" t="n"/>
      <c r="D38" s="31" t="n"/>
      <c r="E38" s="32" t="n"/>
      <c r="F38" s="33" t="n"/>
      <c r="G38" s="33" t="n"/>
      <c r="H38" s="33" t="n"/>
      <c r="I38" s="34">
        <f>IF(OR(J38="G",J38="D"),0,IF(AND(F38="",G38=""),0,MAX(0,IFERROR(F38+0,0)+IFERROR(G38+0,0)-IFERROR(H38+0,0))))</f>
        <v/>
      </c>
      <c r="J38" s="35" t="n"/>
      <c r="K38" s="33" t="n"/>
      <c r="L38" s="33" t="n"/>
      <c r="M38" s="33" t="n"/>
      <c r="N38" s="34">
        <f>IF(OR(O38="G",O38="D"),0,IF(AND(K38="",L38=""),0,MAX(0,IFERROR(K38+0,0)+IFERROR(L38+0,0)-IFERROR(M38+0,0))))</f>
        <v/>
      </c>
      <c r="O38" s="35" t="n"/>
      <c r="P38" s="36">
        <f>IF(B38="","",IF(OR(J38="G",J38="D"),0,I38)+IF(OR(O38="G",O38="D"),0,N38))</f>
        <v/>
      </c>
      <c r="Q38" s="37">
        <f>IF(OR(B38="",P38=0),"-",RANK.EQ(P38,$P$6:$P$45,0))</f>
        <v/>
      </c>
      <c r="R38" s="35">
        <f>IF(OR(B38="",I38=0),"-",IF(OR(J38="G",J38="D"),IF(J38="G","G","D"),COUNTIF($I$6:$I$45,"&gt;"&amp;I38)+1))</f>
        <v/>
      </c>
      <c r="S38" s="35">
        <f>IF(OR(B38="",N38=0),"-",IF(OR(O38="G",O38="D"),IF(O38="G","G","D"),COUNTIF($N$6:$N$45,"&gt;"&amp;N38)+1))</f>
        <v/>
      </c>
    </row>
    <row r="39">
      <c r="A39" s="38" t="n">
        <v>34</v>
      </c>
      <c r="B39" s="39" t="n"/>
      <c r="C39" s="39" t="n"/>
      <c r="D39" s="40" t="n"/>
      <c r="E39" s="41" t="n"/>
      <c r="F39" s="42" t="n"/>
      <c r="G39" s="42" t="n"/>
      <c r="H39" s="42" t="n"/>
      <c r="I39" s="34">
        <f>IF(OR(J39="G",J39="D"),0,IF(AND(F39="",G39=""),0,MAX(0,IFERROR(F39+0,0)+IFERROR(G39+0,0)-IFERROR(H39+0,0))))</f>
        <v/>
      </c>
      <c r="J39" s="43" t="n"/>
      <c r="K39" s="42" t="n"/>
      <c r="L39" s="42" t="n"/>
      <c r="M39" s="42" t="n"/>
      <c r="N39" s="34">
        <f>IF(OR(O39="G",O39="D"),0,IF(AND(K39="",L39=""),0,MAX(0,IFERROR(K39+0,0)+IFERROR(L39+0,0)-IFERROR(M39+0,0))))</f>
        <v/>
      </c>
      <c r="O39" s="43" t="n"/>
      <c r="P39" s="36">
        <f>IF(B39="","",IF(OR(J39="G",J39="D"),0,I39)+IF(OR(O39="G",O39="D"),0,N39))</f>
        <v/>
      </c>
      <c r="Q39" s="37">
        <f>IF(OR(B39="",P39=0),"-",RANK.EQ(P39,$P$6:$P$45,0))</f>
        <v/>
      </c>
      <c r="R39" s="43">
        <f>IF(OR(B39="",I39=0),"-",IF(OR(J39="G",J39="D"),IF(J39="G","G","D"),COUNTIF($I$6:$I$45,"&gt;"&amp;I39)+1))</f>
        <v/>
      </c>
      <c r="S39" s="43">
        <f>IF(OR(B39="",N39=0),"-",IF(OR(O39="G",O39="D"),IF(O39="G","G","D"),COUNTIF($N$6:$N$45,"&gt;"&amp;N39)+1))</f>
        <v/>
      </c>
    </row>
    <row r="40">
      <c r="A40" s="29" t="n">
        <v>35</v>
      </c>
      <c r="B40" s="30" t="n"/>
      <c r="C40" s="30" t="n"/>
      <c r="D40" s="31" t="n"/>
      <c r="E40" s="32" t="n"/>
      <c r="F40" s="33" t="n"/>
      <c r="G40" s="33" t="n"/>
      <c r="H40" s="33" t="n"/>
      <c r="I40" s="34">
        <f>IF(OR(J40="G",J40="D"),0,IF(AND(F40="",G40=""),0,MAX(0,IFERROR(F40+0,0)+IFERROR(G40+0,0)-IFERROR(H40+0,0))))</f>
        <v/>
      </c>
      <c r="J40" s="35" t="n"/>
      <c r="K40" s="33" t="n"/>
      <c r="L40" s="33" t="n"/>
      <c r="M40" s="33" t="n"/>
      <c r="N40" s="34">
        <f>IF(OR(O40="G",O40="D"),0,IF(AND(K40="",L40=""),0,MAX(0,IFERROR(K40+0,0)+IFERROR(L40+0,0)-IFERROR(M40+0,0))))</f>
        <v/>
      </c>
      <c r="O40" s="35" t="n"/>
      <c r="P40" s="36">
        <f>IF(B40="","",IF(OR(J40="G",J40="D"),0,I40)+IF(OR(O40="G",O40="D"),0,N40))</f>
        <v/>
      </c>
      <c r="Q40" s="37">
        <f>IF(OR(B40="",P40=0),"-",RANK.EQ(P40,$P$6:$P$45,0))</f>
        <v/>
      </c>
      <c r="R40" s="35">
        <f>IF(OR(B40="",I40=0),"-",IF(OR(J40="G",J40="D"),IF(J40="G","G","D"),COUNTIF($I$6:$I$45,"&gt;"&amp;I40)+1))</f>
        <v/>
      </c>
      <c r="S40" s="35">
        <f>IF(OR(B40="",N40=0),"-",IF(OR(O40="G",O40="D"),IF(O40="G","G","D"),COUNTIF($N$6:$N$45,"&gt;"&amp;N40)+1))</f>
        <v/>
      </c>
    </row>
    <row r="41">
      <c r="A41" s="38" t="n">
        <v>36</v>
      </c>
      <c r="B41" s="39" t="n"/>
      <c r="C41" s="39" t="n"/>
      <c r="D41" s="40" t="n"/>
      <c r="E41" s="41" t="n"/>
      <c r="F41" s="42" t="n"/>
      <c r="G41" s="42" t="n"/>
      <c r="H41" s="42" t="n"/>
      <c r="I41" s="34">
        <f>IF(OR(J41="G",J41="D"),0,IF(AND(F41="",G41=""),0,MAX(0,IFERROR(F41+0,0)+IFERROR(G41+0,0)-IFERROR(H41+0,0))))</f>
        <v/>
      </c>
      <c r="J41" s="43" t="n"/>
      <c r="K41" s="42" t="n"/>
      <c r="L41" s="42" t="n"/>
      <c r="M41" s="42" t="n"/>
      <c r="N41" s="34">
        <f>IF(OR(O41="G",O41="D"),0,IF(AND(K41="",L41=""),0,MAX(0,IFERROR(K41+0,0)+IFERROR(L41+0,0)-IFERROR(M41+0,0))))</f>
        <v/>
      </c>
      <c r="O41" s="43" t="n"/>
      <c r="P41" s="36">
        <f>IF(B41="","",IF(OR(J41="G",J41="D"),0,I41)+IF(OR(O41="G",O41="D"),0,N41))</f>
        <v/>
      </c>
      <c r="Q41" s="37">
        <f>IF(OR(B41="",P41=0),"-",RANK.EQ(P41,$P$6:$P$45,0))</f>
        <v/>
      </c>
      <c r="R41" s="43">
        <f>IF(OR(B41="",I41=0),"-",IF(OR(J41="G",J41="D"),IF(J41="G","G","D"),COUNTIF($I$6:$I$45,"&gt;"&amp;I41)+1))</f>
        <v/>
      </c>
      <c r="S41" s="43">
        <f>IF(OR(B41="",N41=0),"-",IF(OR(O41="G",O41="D"),IF(O41="G","G","D"),COUNTIF($N$6:$N$45,"&gt;"&amp;N41)+1))</f>
        <v/>
      </c>
    </row>
    <row r="42">
      <c r="A42" s="29" t="n">
        <v>37</v>
      </c>
      <c r="B42" s="30" t="n"/>
      <c r="C42" s="30" t="n"/>
      <c r="D42" s="31" t="n"/>
      <c r="E42" s="32" t="n"/>
      <c r="F42" s="33" t="n"/>
      <c r="G42" s="33" t="n"/>
      <c r="H42" s="33" t="n"/>
      <c r="I42" s="34">
        <f>IF(OR(J42="G",J42="D"),0,IF(AND(F42="",G42=""),0,MAX(0,IFERROR(F42+0,0)+IFERROR(G42+0,0)-IFERROR(H42+0,0))))</f>
        <v/>
      </c>
      <c r="J42" s="35" t="n"/>
      <c r="K42" s="33" t="n"/>
      <c r="L42" s="33" t="n"/>
      <c r="M42" s="33" t="n"/>
      <c r="N42" s="34">
        <f>IF(OR(O42="G",O42="D"),0,IF(AND(K42="",L42=""),0,MAX(0,IFERROR(K42+0,0)+IFERROR(L42+0,0)-IFERROR(M42+0,0))))</f>
        <v/>
      </c>
      <c r="O42" s="35" t="n"/>
      <c r="P42" s="36">
        <f>IF(B42="","",IF(OR(J42="G",J42="D"),0,I42)+IF(OR(O42="G",O42="D"),0,N42))</f>
        <v/>
      </c>
      <c r="Q42" s="37">
        <f>IF(OR(B42="",P42=0),"-",RANK.EQ(P42,$P$6:$P$45,0))</f>
        <v/>
      </c>
      <c r="R42" s="35">
        <f>IF(OR(B42="",I42=0),"-",IF(OR(J42="G",J42="D"),IF(J42="G","G","D"),COUNTIF($I$6:$I$45,"&gt;"&amp;I42)+1))</f>
        <v/>
      </c>
      <c r="S42" s="35">
        <f>IF(OR(B42="",N42=0),"-",IF(OR(O42="G",O42="D"),IF(O42="G","G","D"),COUNTIF($N$6:$N$45,"&gt;"&amp;N42)+1))</f>
        <v/>
      </c>
    </row>
    <row r="43">
      <c r="A43" s="38" t="n">
        <v>38</v>
      </c>
      <c r="B43" s="39" t="n"/>
      <c r="C43" s="39" t="n"/>
      <c r="D43" s="40" t="n"/>
      <c r="E43" s="41" t="n"/>
      <c r="F43" s="42" t="n"/>
      <c r="G43" s="42" t="n"/>
      <c r="H43" s="42" t="n"/>
      <c r="I43" s="34">
        <f>IF(OR(J43="G",J43="D"),0,IF(AND(F43="",G43=""),0,MAX(0,IFERROR(F43+0,0)+IFERROR(G43+0,0)-IFERROR(H43+0,0))))</f>
        <v/>
      </c>
      <c r="J43" s="43" t="n"/>
      <c r="K43" s="42" t="n"/>
      <c r="L43" s="42" t="n"/>
      <c r="M43" s="42" t="n"/>
      <c r="N43" s="34">
        <f>IF(OR(O43="G",O43="D"),0,IF(AND(K43="",L43=""),0,MAX(0,IFERROR(K43+0,0)+IFERROR(L43+0,0)-IFERROR(M43+0,0))))</f>
        <v/>
      </c>
      <c r="O43" s="43" t="n"/>
      <c r="P43" s="36">
        <f>IF(B43="","",IF(OR(J43="G",J43="D"),0,I43)+IF(OR(O43="G",O43="D"),0,N43))</f>
        <v/>
      </c>
      <c r="Q43" s="37">
        <f>IF(OR(B43="",P43=0),"-",RANK.EQ(P43,$P$6:$P$45,0))</f>
        <v/>
      </c>
      <c r="R43" s="43">
        <f>IF(OR(B43="",I43=0),"-",IF(OR(J43="G",J43="D"),IF(J43="G","G","D"),COUNTIF($I$6:$I$45,"&gt;"&amp;I43)+1))</f>
        <v/>
      </c>
      <c r="S43" s="43">
        <f>IF(OR(B43="",N43=0),"-",IF(OR(O43="G",O43="D"),IF(O43="G","G","D"),COUNTIF($N$6:$N$45,"&gt;"&amp;N43)+1))</f>
        <v/>
      </c>
    </row>
    <row r="44">
      <c r="A44" s="29" t="n">
        <v>39</v>
      </c>
      <c r="B44" s="30" t="n"/>
      <c r="C44" s="30" t="n"/>
      <c r="D44" s="31" t="n"/>
      <c r="E44" s="32" t="n"/>
      <c r="F44" s="33" t="n"/>
      <c r="G44" s="33" t="n"/>
      <c r="H44" s="33" t="n"/>
      <c r="I44" s="34">
        <f>IF(OR(J44="G",J44="D"),0,IF(AND(F44="",G44=""),0,MAX(0,IFERROR(F44+0,0)+IFERROR(G44+0,0)-IFERROR(H44+0,0))))</f>
        <v/>
      </c>
      <c r="J44" s="35" t="n"/>
      <c r="K44" s="33" t="n"/>
      <c r="L44" s="33" t="n"/>
      <c r="M44" s="33" t="n"/>
      <c r="N44" s="34">
        <f>IF(OR(O44="G",O44="D"),0,IF(AND(K44="",L44=""),0,MAX(0,IFERROR(K44+0,0)+IFERROR(L44+0,0)-IFERROR(M44+0,0))))</f>
        <v/>
      </c>
      <c r="O44" s="35" t="n"/>
      <c r="P44" s="36">
        <f>IF(B44="","",IF(OR(J44="G",J44="D"),0,I44)+IF(OR(O44="G",O44="D"),0,N44))</f>
        <v/>
      </c>
      <c r="Q44" s="37">
        <f>IF(OR(B44="",P44=0),"-",RANK.EQ(P44,$P$6:$P$45,0))</f>
        <v/>
      </c>
      <c r="R44" s="35">
        <f>IF(OR(B44="",I44=0),"-",IF(OR(J44="G",J44="D"),IF(J44="G","G","D"),COUNTIF($I$6:$I$45,"&gt;"&amp;I44)+1))</f>
        <v/>
      </c>
      <c r="S44" s="35">
        <f>IF(OR(B44="",N44=0),"-",IF(OR(O44="G",O44="D"),IF(O44="G","G","D"),COUNTIF($N$6:$N$45,"&gt;"&amp;N44)+1))</f>
        <v/>
      </c>
    </row>
    <row r="45">
      <c r="A45" s="38" t="n">
        <v>40</v>
      </c>
      <c r="B45" s="39" t="n"/>
      <c r="C45" s="39" t="n"/>
      <c r="D45" s="40" t="n"/>
      <c r="E45" s="41" t="n"/>
      <c r="F45" s="42" t="n"/>
      <c r="G45" s="42" t="n"/>
      <c r="H45" s="42" t="n"/>
      <c r="I45" s="34">
        <f>IF(OR(J45="G",J45="D"),0,IF(AND(F45="",G45=""),0,MAX(0,IFERROR(F45+0,0)+IFERROR(G45+0,0)-IFERROR(H45+0,0))))</f>
        <v/>
      </c>
      <c r="J45" s="43" t="n"/>
      <c r="K45" s="42" t="n"/>
      <c r="L45" s="42" t="n"/>
      <c r="M45" s="42" t="n"/>
      <c r="N45" s="34">
        <f>IF(OR(O45="G",O45="D"),0,IF(AND(K45="",L45=""),0,MAX(0,IFERROR(K45+0,0)+IFERROR(L45+0,0)-IFERROR(M45+0,0))))</f>
        <v/>
      </c>
      <c r="O45" s="43" t="n"/>
      <c r="P45" s="36">
        <f>IF(B45="","",IF(OR(J45="G",J45="D"),0,I45)+IF(OR(O45="G",O45="D"),0,N45))</f>
        <v/>
      </c>
      <c r="Q45" s="37">
        <f>IF(OR(B45="",P45=0),"-",RANK.EQ(P45,$P$6:$P$45,0))</f>
        <v/>
      </c>
      <c r="R45" s="43">
        <f>IF(OR(B45="",I45=0),"-",IF(OR(J45="G",J45="D"),IF(J45="G","G","D"),COUNTIF($I$6:$I$45,"&gt;"&amp;I45)+1))</f>
        <v/>
      </c>
      <c r="S45" s="43">
        <f>IF(OR(B45="",N45=0),"-",IF(OR(O45="G",O45="D"),IF(O45="G","G","D"),COUNTIF($N$6:$N$45,"&gt;"&amp;N45)+1))</f>
        <v/>
      </c>
    </row>
    <row r="47">
      <c r="A47" s="44">
        <f>COUNTA(B6:B45)&amp;" sporcu kayıtlı"</f>
        <v/>
      </c>
    </row>
  </sheetData>
  <mergeCells count="7">
    <mergeCell ref="K3:O3"/>
    <mergeCell ref="F3:J3"/>
    <mergeCell ref="A5:S5"/>
    <mergeCell ref="A1:S1"/>
    <mergeCell ref="A47:E47"/>
    <mergeCell ref="R3:S3"/>
    <mergeCell ref="A2:S2"/>
  </mergeCells>
  <conditionalFormatting sqref="Q6:Q45">
    <cfRule type="cellIs" priority="1" operator="equal" dxfId="0">
      <formula>1</formula>
    </cfRule>
    <cfRule type="cellIs" priority="2" operator="equal" dxfId="1">
      <formula>2</formula>
    </cfRule>
    <cfRule type="cellIs" priority="3" operator="equal" dxfId="2">
      <formula>3</formula>
    </cfRule>
  </conditionalFormatting>
  <conditionalFormatting sqref="J6:J45">
    <cfRule type="cellIs" priority="4" operator="equal" dxfId="3">
      <formula>"G"</formula>
    </cfRule>
    <cfRule type="cellIs" priority="5" operator="equal" dxfId="4">
      <formula>"D"</formula>
    </cfRule>
  </conditionalFormatting>
  <conditionalFormatting sqref="O6:O45">
    <cfRule type="cellIs" priority="6" operator="equal" dxfId="3">
      <formula>"G"</formula>
    </cfRule>
    <cfRule type="cellIs" priority="7" operator="equal" dxfId="4">
      <formula>"D"</formula>
    </cfRule>
  </conditionalFormatting>
  <dataValidations count="2">
    <dataValidation sqref="E6 E7 E8 E9 E10 E11 E12 E13 E14 E15 E16 E17 E18 E19 E20 E21 E22 E23 E24 E25 E26 E27 E28 E29 E30 E31 E32 E33 E34 E35 E36 E37 E38 E39 E40 E41 E42 E43 E44 E45" showDropDown="0" showInputMessage="0" showErrorMessage="0" allowBlank="1" type="list">
      <formula1>"Bireysel,Takım"</formula1>
    </dataValidation>
    <dataValidation sqref="J6 J7 J8 J9 J10 J11 J12 J13 J14 J15 J16 J17 J18 J19 J20 J21 J22 J23 J24 J25 J26 J27 J28 J29 J30 J31 J32 J33 J34 J35 J36 J37 J38 J39 J40 J41 J42 J43 J44 J45 O6 O7 O8 O9 O10 O11 O12 O13 O14 O15 O16 O17 O18 O19 O20 O21 O22 O23 O24 O25 O26 O27 O28 O29 O30 O31 O32 O33 O34 O35 O36 O37 O38 O39 O40 O41 O42 O43 O44 O45" showDropDown="0" showInputMessage="0" showErrorMessage="0" allowBlank="1" type="list">
      <formula1>"N,G,D"</formula1>
    </dataValidation>
  </dataValidations>
  <pageMargins left="0.4" right="0.4" top="0.5" bottom="0.5"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S4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4" customWidth="1" min="3" max="3"/>
    <col width="26" customWidth="1" min="4" max="4"/>
    <col width="10" customWidth="1" min="5" max="5"/>
    <col width="6.5" customWidth="1" min="6" max="6"/>
    <col width="6.5" customWidth="1" min="7" max="7"/>
    <col width="6.5" customWidth="1" min="8" max="8"/>
    <col width="9" customWidth="1" min="9" max="9"/>
    <col width="6" customWidth="1" min="10" max="10"/>
    <col width="6.5" customWidth="1" min="11" max="11"/>
    <col width="6.5" customWidth="1" min="12" max="12"/>
    <col width="6.5" customWidth="1" min="13" max="13"/>
    <col width="9" customWidth="1" min="14" max="14"/>
    <col width="6" customWidth="1" min="15" max="15"/>
    <col width="11" customWidth="1" min="16" max="16"/>
    <col width="9" customWidth="1" min="17" max="17"/>
    <col width="7" customWidth="1" min="18" max="18"/>
    <col width="7" customWidth="1" min="19" max="19"/>
  </cols>
  <sheetData>
    <row r="1" ht="32" customHeight="1">
      <c r="A1" s="45" t="inlineStr">
        <is>
          <t>MİNİK A ERKEKLER</t>
        </is>
      </c>
    </row>
    <row r="2" ht="15" customHeight="1">
      <c r="A2" s="23">
        <f>'YARIŞMA BİLGİLERİ'!C3&amp;"  —  "&amp;'YARIŞMA BİLGİLERİ'!C4&amp;"  |  "&amp;'YARIŞMA BİLGİLERİ'!C5</f>
        <v/>
      </c>
    </row>
    <row r="3" ht="22" customHeight="1">
      <c r="A3" s="46" t="n"/>
      <c r="B3" s="46" t="n"/>
      <c r="C3" s="46" t="n"/>
      <c r="D3" s="46" t="n"/>
      <c r="E3" s="46" t="n"/>
      <c r="F3" s="47" t="inlineStr">
        <is>
          <t>YER (FX)</t>
        </is>
      </c>
      <c r="G3" s="46" t="n"/>
      <c r="H3" s="46" t="n"/>
      <c r="I3" s="46" t="n"/>
      <c r="J3" s="46" t="n"/>
      <c r="K3" s="47" t="inlineStr">
        <is>
          <t>ATLAMA (VT)</t>
        </is>
      </c>
      <c r="L3" s="46" t="n"/>
      <c r="M3" s="46" t="n"/>
      <c r="N3" s="46" t="n"/>
      <c r="O3" s="46" t="n"/>
      <c r="P3" s="46" t="n"/>
      <c r="Q3" s="46" t="n"/>
      <c r="R3" s="48" t="inlineStr">
        <is>
          <t>ALET SIRALARI  (Eleme Seçimi için)</t>
        </is>
      </c>
      <c r="S3" s="46" t="n"/>
    </row>
    <row r="4" ht="30" customHeight="1">
      <c r="A4" s="27" t="inlineStr">
        <is>
          <t>No</t>
        </is>
      </c>
      <c r="B4" s="27" t="inlineStr">
        <is>
          <t>Ad</t>
        </is>
      </c>
      <c r="C4" s="27" t="inlineStr">
        <is>
          <t>Soyad</t>
        </is>
      </c>
      <c r="D4" s="27" t="inlineStr">
        <is>
          <t>Okul / Kulüp</t>
        </is>
      </c>
      <c r="E4" s="27" t="inlineStr">
        <is>
          <t>Tür</t>
        </is>
      </c>
      <c r="F4" s="27" t="inlineStr">
        <is>
          <t>D</t>
        </is>
      </c>
      <c r="G4" s="27" t="inlineStr">
        <is>
          <t>E</t>
        </is>
      </c>
      <c r="H4" s="27" t="inlineStr">
        <is>
          <t>ND</t>
        </is>
      </c>
      <c r="I4" s="27" t="inlineStr">
        <is>
          <t>Final</t>
        </is>
      </c>
      <c r="J4" s="27" t="inlineStr">
        <is>
          <t>Dur</t>
        </is>
      </c>
      <c r="K4" s="27" t="inlineStr">
        <is>
          <t>D</t>
        </is>
      </c>
      <c r="L4" s="27" t="inlineStr">
        <is>
          <t>E</t>
        </is>
      </c>
      <c r="M4" s="27" t="inlineStr">
        <is>
          <t>ND</t>
        </is>
      </c>
      <c r="N4" s="27" t="inlineStr">
        <is>
          <t>Final</t>
        </is>
      </c>
      <c r="O4" s="27" t="inlineStr">
        <is>
          <t>Dur</t>
        </is>
      </c>
      <c r="P4" s="27" t="inlineStr">
        <is>
          <t>TOPLAM</t>
        </is>
      </c>
      <c r="Q4" s="27" t="inlineStr">
        <is>
          <t>SIRALAMA</t>
        </is>
      </c>
      <c r="R4" s="27" t="inlineStr">
        <is>
          <t>FX</t>
        </is>
      </c>
      <c r="S4" s="27" t="inlineStr">
        <is>
          <t>VT</t>
        </is>
      </c>
    </row>
    <row r="5" ht="13" customHeight="1">
      <c r="A5" s="28" t="inlineStr">
        <is>
          <t>Final = MAX(0, D+E−ND)  |  Dur: N=Normal · G=Gecersiz · D=Yarışmadı/DNS  |  Mavi sütun = formül (elle girme)  |  Yeşil = Toplam  |  Sarı = Sıralama</t>
        </is>
      </c>
    </row>
    <row r="6">
      <c r="A6" s="29" t="n">
        <v>1</v>
      </c>
      <c r="B6" s="30" t="n"/>
      <c r="C6" s="30" t="n"/>
      <c r="D6" s="31" t="n"/>
      <c r="E6" s="32" t="n"/>
      <c r="F6" s="33" t="n"/>
      <c r="G6" s="33" t="n"/>
      <c r="H6" s="33" t="n"/>
      <c r="I6" s="34">
        <f>IF(OR(J6="G",J6="D"),0,IF(AND(F6="",G6=""),0,MAX(0,IFERROR(F6+0,0)+IFERROR(G6+0,0)-IFERROR(H6+0,0))))</f>
        <v/>
      </c>
      <c r="J6" s="35" t="n"/>
      <c r="K6" s="33" t="n"/>
      <c r="L6" s="33" t="n"/>
      <c r="M6" s="33" t="n"/>
      <c r="N6" s="34">
        <f>IF(OR(O6="G",O6="D"),0,IF(AND(K6="",L6=""),0,MAX(0,IFERROR(K6+0,0)+IFERROR(L6+0,0)-IFERROR(M6+0,0))))</f>
        <v/>
      </c>
      <c r="O6" s="35" t="n"/>
      <c r="P6" s="36">
        <f>IF(B6="","",IF(OR(J6="G",J6="D"),0,I6)+IF(OR(O6="G",O6="D"),0,N6))</f>
        <v/>
      </c>
      <c r="Q6" s="37">
        <f>IF(OR(B6="",P6=0),"-",RANK.EQ(P6,$P$6:$P$45,0))</f>
        <v/>
      </c>
      <c r="R6" s="35">
        <f>IF(OR(B6="",I6=0),"-",IF(OR(J6="G",J6="D"),IF(J6="G","G","D"),COUNTIF($I$6:$I$45,"&gt;"&amp;I6)+1))</f>
        <v/>
      </c>
      <c r="S6" s="35">
        <f>IF(OR(B6="",N6=0),"-",IF(OR(O6="G",O6="D"),IF(O6="G","G","D"),COUNTIF($N$6:$N$45,"&gt;"&amp;N6)+1))</f>
        <v/>
      </c>
    </row>
    <row r="7">
      <c r="A7" s="38" t="n">
        <v>2</v>
      </c>
      <c r="B7" s="39" t="n"/>
      <c r="C7" s="39" t="n"/>
      <c r="D7" s="40" t="n"/>
      <c r="E7" s="41" t="n"/>
      <c r="F7" s="42" t="n"/>
      <c r="G7" s="42" t="n"/>
      <c r="H7" s="42" t="n"/>
      <c r="I7" s="34">
        <f>IF(OR(J7="G",J7="D"),0,IF(AND(F7="",G7=""),0,MAX(0,IFERROR(F7+0,0)+IFERROR(G7+0,0)-IFERROR(H7+0,0))))</f>
        <v/>
      </c>
      <c r="J7" s="43" t="n"/>
      <c r="K7" s="42" t="n"/>
      <c r="L7" s="42" t="n"/>
      <c r="M7" s="42" t="n"/>
      <c r="N7" s="34">
        <f>IF(OR(O7="G",O7="D"),0,IF(AND(K7="",L7=""),0,MAX(0,IFERROR(K7+0,0)+IFERROR(L7+0,0)-IFERROR(M7+0,0))))</f>
        <v/>
      </c>
      <c r="O7" s="43" t="n"/>
      <c r="P7" s="36">
        <f>IF(B7="","",IF(OR(J7="G",J7="D"),0,I7)+IF(OR(O7="G",O7="D"),0,N7))</f>
        <v/>
      </c>
      <c r="Q7" s="37">
        <f>IF(OR(B7="",P7=0),"-",RANK.EQ(P7,$P$6:$P$45,0))</f>
        <v/>
      </c>
      <c r="R7" s="43">
        <f>IF(OR(B7="",I7=0),"-",IF(OR(J7="G",J7="D"),IF(J7="G","G","D"),COUNTIF($I$6:$I$45,"&gt;"&amp;I7)+1))</f>
        <v/>
      </c>
      <c r="S7" s="43">
        <f>IF(OR(B7="",N7=0),"-",IF(OR(O7="G",O7="D"),IF(O7="G","G","D"),COUNTIF($N$6:$N$45,"&gt;"&amp;N7)+1))</f>
        <v/>
      </c>
    </row>
    <row r="8">
      <c r="A8" s="29" t="n">
        <v>3</v>
      </c>
      <c r="B8" s="30" t="n"/>
      <c r="C8" s="30" t="n"/>
      <c r="D8" s="31" t="n"/>
      <c r="E8" s="32" t="n"/>
      <c r="F8" s="33" t="n"/>
      <c r="G8" s="33" t="n"/>
      <c r="H8" s="33" t="n"/>
      <c r="I8" s="34">
        <f>IF(OR(J8="G",J8="D"),0,IF(AND(F8="",G8=""),0,MAX(0,IFERROR(F8+0,0)+IFERROR(G8+0,0)-IFERROR(H8+0,0))))</f>
        <v/>
      </c>
      <c r="J8" s="35" t="n"/>
      <c r="K8" s="33" t="n"/>
      <c r="L8" s="33" t="n"/>
      <c r="M8" s="33" t="n"/>
      <c r="N8" s="34">
        <f>IF(OR(O8="G",O8="D"),0,IF(AND(K8="",L8=""),0,MAX(0,IFERROR(K8+0,0)+IFERROR(L8+0,0)-IFERROR(M8+0,0))))</f>
        <v/>
      </c>
      <c r="O8" s="35" t="n"/>
      <c r="P8" s="36">
        <f>IF(B8="","",IF(OR(J8="G",J8="D"),0,I8)+IF(OR(O8="G",O8="D"),0,N8))</f>
        <v/>
      </c>
      <c r="Q8" s="37">
        <f>IF(OR(B8="",P8=0),"-",RANK.EQ(P8,$P$6:$P$45,0))</f>
        <v/>
      </c>
      <c r="R8" s="35">
        <f>IF(OR(B8="",I8=0),"-",IF(OR(J8="G",J8="D"),IF(J8="G","G","D"),COUNTIF($I$6:$I$45,"&gt;"&amp;I8)+1))</f>
        <v/>
      </c>
      <c r="S8" s="35">
        <f>IF(OR(B8="",N8=0),"-",IF(OR(O8="G",O8="D"),IF(O8="G","G","D"),COUNTIF($N$6:$N$45,"&gt;"&amp;N8)+1))</f>
        <v/>
      </c>
    </row>
    <row r="9">
      <c r="A9" s="38" t="n">
        <v>4</v>
      </c>
      <c r="B9" s="39" t="n"/>
      <c r="C9" s="39" t="n"/>
      <c r="D9" s="40" t="n"/>
      <c r="E9" s="41" t="n"/>
      <c r="F9" s="42" t="n"/>
      <c r="G9" s="42" t="n"/>
      <c r="H9" s="42" t="n"/>
      <c r="I9" s="34">
        <f>IF(OR(J9="G",J9="D"),0,IF(AND(F9="",G9=""),0,MAX(0,IFERROR(F9+0,0)+IFERROR(G9+0,0)-IFERROR(H9+0,0))))</f>
        <v/>
      </c>
      <c r="J9" s="43" t="n"/>
      <c r="K9" s="42" t="n"/>
      <c r="L9" s="42" t="n"/>
      <c r="M9" s="42" t="n"/>
      <c r="N9" s="34">
        <f>IF(OR(O9="G",O9="D"),0,IF(AND(K9="",L9=""),0,MAX(0,IFERROR(K9+0,0)+IFERROR(L9+0,0)-IFERROR(M9+0,0))))</f>
        <v/>
      </c>
      <c r="O9" s="43" t="n"/>
      <c r="P9" s="36">
        <f>IF(B9="","",IF(OR(J9="G",J9="D"),0,I9)+IF(OR(O9="G",O9="D"),0,N9))</f>
        <v/>
      </c>
      <c r="Q9" s="37">
        <f>IF(OR(B9="",P9=0),"-",RANK.EQ(P9,$P$6:$P$45,0))</f>
        <v/>
      </c>
      <c r="R9" s="43">
        <f>IF(OR(B9="",I9=0),"-",IF(OR(J9="G",J9="D"),IF(J9="G","G","D"),COUNTIF($I$6:$I$45,"&gt;"&amp;I9)+1))</f>
        <v/>
      </c>
      <c r="S9" s="43">
        <f>IF(OR(B9="",N9=0),"-",IF(OR(O9="G",O9="D"),IF(O9="G","G","D"),COUNTIF($N$6:$N$45,"&gt;"&amp;N9)+1))</f>
        <v/>
      </c>
    </row>
    <row r="10">
      <c r="A10" s="29" t="n">
        <v>5</v>
      </c>
      <c r="B10" s="30" t="n"/>
      <c r="C10" s="30" t="n"/>
      <c r="D10" s="31" t="n"/>
      <c r="E10" s="32" t="n"/>
      <c r="F10" s="33" t="n"/>
      <c r="G10" s="33" t="n"/>
      <c r="H10" s="33" t="n"/>
      <c r="I10" s="34">
        <f>IF(OR(J10="G",J10="D"),0,IF(AND(F10="",G10=""),0,MAX(0,IFERROR(F10+0,0)+IFERROR(G10+0,0)-IFERROR(H10+0,0))))</f>
        <v/>
      </c>
      <c r="J10" s="35" t="n"/>
      <c r="K10" s="33" t="n"/>
      <c r="L10" s="33" t="n"/>
      <c r="M10" s="33" t="n"/>
      <c r="N10" s="34">
        <f>IF(OR(O10="G",O10="D"),0,IF(AND(K10="",L10=""),0,MAX(0,IFERROR(K10+0,0)+IFERROR(L10+0,0)-IFERROR(M10+0,0))))</f>
        <v/>
      </c>
      <c r="O10" s="35" t="n"/>
      <c r="P10" s="36">
        <f>IF(B10="","",IF(OR(J10="G",J10="D"),0,I10)+IF(OR(O10="G",O10="D"),0,N10))</f>
        <v/>
      </c>
      <c r="Q10" s="37">
        <f>IF(OR(B10="",P10=0),"-",RANK.EQ(P10,$P$6:$P$45,0))</f>
        <v/>
      </c>
      <c r="R10" s="35">
        <f>IF(OR(B10="",I10=0),"-",IF(OR(J10="G",J10="D"),IF(J10="G","G","D"),COUNTIF($I$6:$I$45,"&gt;"&amp;I10)+1))</f>
        <v/>
      </c>
      <c r="S10" s="35">
        <f>IF(OR(B10="",N10=0),"-",IF(OR(O10="G",O10="D"),IF(O10="G","G","D"),COUNTIF($N$6:$N$45,"&gt;"&amp;N10)+1))</f>
        <v/>
      </c>
    </row>
    <row r="11">
      <c r="A11" s="38" t="n">
        <v>6</v>
      </c>
      <c r="B11" s="39" t="n"/>
      <c r="C11" s="39" t="n"/>
      <c r="D11" s="40" t="n"/>
      <c r="E11" s="41" t="n"/>
      <c r="F11" s="42" t="n"/>
      <c r="G11" s="42" t="n"/>
      <c r="H11" s="42" t="n"/>
      <c r="I11" s="34">
        <f>IF(OR(J11="G",J11="D"),0,IF(AND(F11="",G11=""),0,MAX(0,IFERROR(F11+0,0)+IFERROR(G11+0,0)-IFERROR(H11+0,0))))</f>
        <v/>
      </c>
      <c r="J11" s="43" t="n"/>
      <c r="K11" s="42" t="n"/>
      <c r="L11" s="42" t="n"/>
      <c r="M11" s="42" t="n"/>
      <c r="N11" s="34">
        <f>IF(OR(O11="G",O11="D"),0,IF(AND(K11="",L11=""),0,MAX(0,IFERROR(K11+0,0)+IFERROR(L11+0,0)-IFERROR(M11+0,0))))</f>
        <v/>
      </c>
      <c r="O11" s="43" t="n"/>
      <c r="P11" s="36">
        <f>IF(B11="","",IF(OR(J11="G",J11="D"),0,I11)+IF(OR(O11="G",O11="D"),0,N11))</f>
        <v/>
      </c>
      <c r="Q11" s="37">
        <f>IF(OR(B11="",P11=0),"-",RANK.EQ(P11,$P$6:$P$45,0))</f>
        <v/>
      </c>
      <c r="R11" s="43">
        <f>IF(OR(B11="",I11=0),"-",IF(OR(J11="G",J11="D"),IF(J11="G","G","D"),COUNTIF($I$6:$I$45,"&gt;"&amp;I11)+1))</f>
        <v/>
      </c>
      <c r="S11" s="43">
        <f>IF(OR(B11="",N11=0),"-",IF(OR(O11="G",O11="D"),IF(O11="G","G","D"),COUNTIF($N$6:$N$45,"&gt;"&amp;N11)+1))</f>
        <v/>
      </c>
    </row>
    <row r="12">
      <c r="A12" s="29" t="n">
        <v>7</v>
      </c>
      <c r="B12" s="30" t="n"/>
      <c r="C12" s="30" t="n"/>
      <c r="D12" s="31" t="n"/>
      <c r="E12" s="32" t="n"/>
      <c r="F12" s="33" t="n"/>
      <c r="G12" s="33" t="n"/>
      <c r="H12" s="33" t="n"/>
      <c r="I12" s="34">
        <f>IF(OR(J12="G",J12="D"),0,IF(AND(F12="",G12=""),0,MAX(0,IFERROR(F12+0,0)+IFERROR(G12+0,0)-IFERROR(H12+0,0))))</f>
        <v/>
      </c>
      <c r="J12" s="35" t="n"/>
      <c r="K12" s="33" t="n"/>
      <c r="L12" s="33" t="n"/>
      <c r="M12" s="33" t="n"/>
      <c r="N12" s="34">
        <f>IF(OR(O12="G",O12="D"),0,IF(AND(K12="",L12=""),0,MAX(0,IFERROR(K12+0,0)+IFERROR(L12+0,0)-IFERROR(M12+0,0))))</f>
        <v/>
      </c>
      <c r="O12" s="35" t="n"/>
      <c r="P12" s="36">
        <f>IF(B12="","",IF(OR(J12="G",J12="D"),0,I12)+IF(OR(O12="G",O12="D"),0,N12))</f>
        <v/>
      </c>
      <c r="Q12" s="37">
        <f>IF(OR(B12="",P12=0),"-",RANK.EQ(P12,$P$6:$P$45,0))</f>
        <v/>
      </c>
      <c r="R12" s="35">
        <f>IF(OR(B12="",I12=0),"-",IF(OR(J12="G",J12="D"),IF(J12="G","G","D"),COUNTIF($I$6:$I$45,"&gt;"&amp;I12)+1))</f>
        <v/>
      </c>
      <c r="S12" s="35">
        <f>IF(OR(B12="",N12=0),"-",IF(OR(O12="G",O12="D"),IF(O12="G","G","D"),COUNTIF($N$6:$N$45,"&gt;"&amp;N12)+1))</f>
        <v/>
      </c>
    </row>
    <row r="13">
      <c r="A13" s="38" t="n">
        <v>8</v>
      </c>
      <c r="B13" s="39" t="n"/>
      <c r="C13" s="39" t="n"/>
      <c r="D13" s="40" t="n"/>
      <c r="E13" s="41" t="n"/>
      <c r="F13" s="42" t="n"/>
      <c r="G13" s="42" t="n"/>
      <c r="H13" s="42" t="n"/>
      <c r="I13" s="34">
        <f>IF(OR(J13="G",J13="D"),0,IF(AND(F13="",G13=""),0,MAX(0,IFERROR(F13+0,0)+IFERROR(G13+0,0)-IFERROR(H13+0,0))))</f>
        <v/>
      </c>
      <c r="J13" s="43" t="n"/>
      <c r="K13" s="42" t="n"/>
      <c r="L13" s="42" t="n"/>
      <c r="M13" s="42" t="n"/>
      <c r="N13" s="34">
        <f>IF(OR(O13="G",O13="D"),0,IF(AND(K13="",L13=""),0,MAX(0,IFERROR(K13+0,0)+IFERROR(L13+0,0)-IFERROR(M13+0,0))))</f>
        <v/>
      </c>
      <c r="O13" s="43" t="n"/>
      <c r="P13" s="36">
        <f>IF(B13="","",IF(OR(J13="G",J13="D"),0,I13)+IF(OR(O13="G",O13="D"),0,N13))</f>
        <v/>
      </c>
      <c r="Q13" s="37">
        <f>IF(OR(B13="",P13=0),"-",RANK.EQ(P13,$P$6:$P$45,0))</f>
        <v/>
      </c>
      <c r="R13" s="43">
        <f>IF(OR(B13="",I13=0),"-",IF(OR(J13="G",J13="D"),IF(J13="G","G","D"),COUNTIF($I$6:$I$45,"&gt;"&amp;I13)+1))</f>
        <v/>
      </c>
      <c r="S13" s="43">
        <f>IF(OR(B13="",N13=0),"-",IF(OR(O13="G",O13="D"),IF(O13="G","G","D"),COUNTIF($N$6:$N$45,"&gt;"&amp;N13)+1))</f>
        <v/>
      </c>
    </row>
    <row r="14">
      <c r="A14" s="29" t="n">
        <v>9</v>
      </c>
      <c r="B14" s="30" t="n"/>
      <c r="C14" s="30" t="n"/>
      <c r="D14" s="31" t="n"/>
      <c r="E14" s="32" t="n"/>
      <c r="F14" s="33" t="n"/>
      <c r="G14" s="33" t="n"/>
      <c r="H14" s="33" t="n"/>
      <c r="I14" s="34">
        <f>IF(OR(J14="G",J14="D"),0,IF(AND(F14="",G14=""),0,MAX(0,IFERROR(F14+0,0)+IFERROR(G14+0,0)-IFERROR(H14+0,0))))</f>
        <v/>
      </c>
      <c r="J14" s="35" t="n"/>
      <c r="K14" s="33" t="n"/>
      <c r="L14" s="33" t="n"/>
      <c r="M14" s="33" t="n"/>
      <c r="N14" s="34">
        <f>IF(OR(O14="G",O14="D"),0,IF(AND(K14="",L14=""),0,MAX(0,IFERROR(K14+0,0)+IFERROR(L14+0,0)-IFERROR(M14+0,0))))</f>
        <v/>
      </c>
      <c r="O14" s="35" t="n"/>
      <c r="P14" s="36">
        <f>IF(B14="","",IF(OR(J14="G",J14="D"),0,I14)+IF(OR(O14="G",O14="D"),0,N14))</f>
        <v/>
      </c>
      <c r="Q14" s="37">
        <f>IF(OR(B14="",P14=0),"-",RANK.EQ(P14,$P$6:$P$45,0))</f>
        <v/>
      </c>
      <c r="R14" s="35">
        <f>IF(OR(B14="",I14=0),"-",IF(OR(J14="G",J14="D"),IF(J14="G","G","D"),COUNTIF($I$6:$I$45,"&gt;"&amp;I14)+1))</f>
        <v/>
      </c>
      <c r="S14" s="35">
        <f>IF(OR(B14="",N14=0),"-",IF(OR(O14="G",O14="D"),IF(O14="G","G","D"),COUNTIF($N$6:$N$45,"&gt;"&amp;N14)+1))</f>
        <v/>
      </c>
    </row>
    <row r="15">
      <c r="A15" s="38" t="n">
        <v>10</v>
      </c>
      <c r="B15" s="39" t="n"/>
      <c r="C15" s="39" t="n"/>
      <c r="D15" s="40" t="n"/>
      <c r="E15" s="41" t="n"/>
      <c r="F15" s="42" t="n"/>
      <c r="G15" s="42" t="n"/>
      <c r="H15" s="42" t="n"/>
      <c r="I15" s="34">
        <f>IF(OR(J15="G",J15="D"),0,IF(AND(F15="",G15=""),0,MAX(0,IFERROR(F15+0,0)+IFERROR(G15+0,0)-IFERROR(H15+0,0))))</f>
        <v/>
      </c>
      <c r="J15" s="43" t="n"/>
      <c r="K15" s="42" t="n"/>
      <c r="L15" s="42" t="n"/>
      <c r="M15" s="42" t="n"/>
      <c r="N15" s="34">
        <f>IF(OR(O15="G",O15="D"),0,IF(AND(K15="",L15=""),0,MAX(0,IFERROR(K15+0,0)+IFERROR(L15+0,0)-IFERROR(M15+0,0))))</f>
        <v/>
      </c>
      <c r="O15" s="43" t="n"/>
      <c r="P15" s="36">
        <f>IF(B15="","",IF(OR(J15="G",J15="D"),0,I15)+IF(OR(O15="G",O15="D"),0,N15))</f>
        <v/>
      </c>
      <c r="Q15" s="37">
        <f>IF(OR(B15="",P15=0),"-",RANK.EQ(P15,$P$6:$P$45,0))</f>
        <v/>
      </c>
      <c r="R15" s="43">
        <f>IF(OR(B15="",I15=0),"-",IF(OR(J15="G",J15="D"),IF(J15="G","G","D"),COUNTIF($I$6:$I$45,"&gt;"&amp;I15)+1))</f>
        <v/>
      </c>
      <c r="S15" s="43">
        <f>IF(OR(B15="",N15=0),"-",IF(OR(O15="G",O15="D"),IF(O15="G","G","D"),COUNTIF($N$6:$N$45,"&gt;"&amp;N15)+1))</f>
        <v/>
      </c>
    </row>
    <row r="16">
      <c r="A16" s="29" t="n">
        <v>11</v>
      </c>
      <c r="B16" s="30" t="n"/>
      <c r="C16" s="30" t="n"/>
      <c r="D16" s="31" t="n"/>
      <c r="E16" s="32" t="n"/>
      <c r="F16" s="33" t="n"/>
      <c r="G16" s="33" t="n"/>
      <c r="H16" s="33" t="n"/>
      <c r="I16" s="34">
        <f>IF(OR(J16="G",J16="D"),0,IF(AND(F16="",G16=""),0,MAX(0,IFERROR(F16+0,0)+IFERROR(G16+0,0)-IFERROR(H16+0,0))))</f>
        <v/>
      </c>
      <c r="J16" s="35" t="n"/>
      <c r="K16" s="33" t="n"/>
      <c r="L16" s="33" t="n"/>
      <c r="M16" s="33" t="n"/>
      <c r="N16" s="34">
        <f>IF(OR(O16="G",O16="D"),0,IF(AND(K16="",L16=""),0,MAX(0,IFERROR(K16+0,0)+IFERROR(L16+0,0)-IFERROR(M16+0,0))))</f>
        <v/>
      </c>
      <c r="O16" s="35" t="n"/>
      <c r="P16" s="36">
        <f>IF(B16="","",IF(OR(J16="G",J16="D"),0,I16)+IF(OR(O16="G",O16="D"),0,N16))</f>
        <v/>
      </c>
      <c r="Q16" s="37">
        <f>IF(OR(B16="",P16=0),"-",RANK.EQ(P16,$P$6:$P$45,0))</f>
        <v/>
      </c>
      <c r="R16" s="35">
        <f>IF(OR(B16="",I16=0),"-",IF(OR(J16="G",J16="D"),IF(J16="G","G","D"),COUNTIF($I$6:$I$45,"&gt;"&amp;I16)+1))</f>
        <v/>
      </c>
      <c r="S16" s="35">
        <f>IF(OR(B16="",N16=0),"-",IF(OR(O16="G",O16="D"),IF(O16="G","G","D"),COUNTIF($N$6:$N$45,"&gt;"&amp;N16)+1))</f>
        <v/>
      </c>
    </row>
    <row r="17">
      <c r="A17" s="38" t="n">
        <v>12</v>
      </c>
      <c r="B17" s="39" t="n"/>
      <c r="C17" s="39" t="n"/>
      <c r="D17" s="40" t="n"/>
      <c r="E17" s="41" t="n"/>
      <c r="F17" s="42" t="n"/>
      <c r="G17" s="42" t="n"/>
      <c r="H17" s="42" t="n"/>
      <c r="I17" s="34">
        <f>IF(OR(J17="G",J17="D"),0,IF(AND(F17="",G17=""),0,MAX(0,IFERROR(F17+0,0)+IFERROR(G17+0,0)-IFERROR(H17+0,0))))</f>
        <v/>
      </c>
      <c r="J17" s="43" t="n"/>
      <c r="K17" s="42" t="n"/>
      <c r="L17" s="42" t="n"/>
      <c r="M17" s="42" t="n"/>
      <c r="N17" s="34">
        <f>IF(OR(O17="G",O17="D"),0,IF(AND(K17="",L17=""),0,MAX(0,IFERROR(K17+0,0)+IFERROR(L17+0,0)-IFERROR(M17+0,0))))</f>
        <v/>
      </c>
      <c r="O17" s="43" t="n"/>
      <c r="P17" s="36">
        <f>IF(B17="","",IF(OR(J17="G",J17="D"),0,I17)+IF(OR(O17="G",O17="D"),0,N17))</f>
        <v/>
      </c>
      <c r="Q17" s="37">
        <f>IF(OR(B17="",P17=0),"-",RANK.EQ(P17,$P$6:$P$45,0))</f>
        <v/>
      </c>
      <c r="R17" s="43">
        <f>IF(OR(B17="",I17=0),"-",IF(OR(J17="G",J17="D"),IF(J17="G","G","D"),COUNTIF($I$6:$I$45,"&gt;"&amp;I17)+1))</f>
        <v/>
      </c>
      <c r="S17" s="43">
        <f>IF(OR(B17="",N17=0),"-",IF(OR(O17="G",O17="D"),IF(O17="G","G","D"),COUNTIF($N$6:$N$45,"&gt;"&amp;N17)+1))</f>
        <v/>
      </c>
    </row>
    <row r="18">
      <c r="A18" s="29" t="n">
        <v>13</v>
      </c>
      <c r="B18" s="30" t="n"/>
      <c r="C18" s="30" t="n"/>
      <c r="D18" s="31" t="n"/>
      <c r="E18" s="32" t="n"/>
      <c r="F18" s="33" t="n"/>
      <c r="G18" s="33" t="n"/>
      <c r="H18" s="33" t="n"/>
      <c r="I18" s="34">
        <f>IF(OR(J18="G",J18="D"),0,IF(AND(F18="",G18=""),0,MAX(0,IFERROR(F18+0,0)+IFERROR(G18+0,0)-IFERROR(H18+0,0))))</f>
        <v/>
      </c>
      <c r="J18" s="35" t="n"/>
      <c r="K18" s="33" t="n"/>
      <c r="L18" s="33" t="n"/>
      <c r="M18" s="33" t="n"/>
      <c r="N18" s="34">
        <f>IF(OR(O18="G",O18="D"),0,IF(AND(K18="",L18=""),0,MAX(0,IFERROR(K18+0,0)+IFERROR(L18+0,0)-IFERROR(M18+0,0))))</f>
        <v/>
      </c>
      <c r="O18" s="35" t="n"/>
      <c r="P18" s="36">
        <f>IF(B18="","",IF(OR(J18="G",J18="D"),0,I18)+IF(OR(O18="G",O18="D"),0,N18))</f>
        <v/>
      </c>
      <c r="Q18" s="37">
        <f>IF(OR(B18="",P18=0),"-",RANK.EQ(P18,$P$6:$P$45,0))</f>
        <v/>
      </c>
      <c r="R18" s="35">
        <f>IF(OR(B18="",I18=0),"-",IF(OR(J18="G",J18="D"),IF(J18="G","G","D"),COUNTIF($I$6:$I$45,"&gt;"&amp;I18)+1))</f>
        <v/>
      </c>
      <c r="S18" s="35">
        <f>IF(OR(B18="",N18=0),"-",IF(OR(O18="G",O18="D"),IF(O18="G","G","D"),COUNTIF($N$6:$N$45,"&gt;"&amp;N18)+1))</f>
        <v/>
      </c>
    </row>
    <row r="19">
      <c r="A19" s="38" t="n">
        <v>14</v>
      </c>
      <c r="B19" s="39" t="n"/>
      <c r="C19" s="39" t="n"/>
      <c r="D19" s="40" t="n"/>
      <c r="E19" s="41" t="n"/>
      <c r="F19" s="42" t="n"/>
      <c r="G19" s="42" t="n"/>
      <c r="H19" s="42" t="n"/>
      <c r="I19" s="34">
        <f>IF(OR(J19="G",J19="D"),0,IF(AND(F19="",G19=""),0,MAX(0,IFERROR(F19+0,0)+IFERROR(G19+0,0)-IFERROR(H19+0,0))))</f>
        <v/>
      </c>
      <c r="J19" s="43" t="n"/>
      <c r="K19" s="42" t="n"/>
      <c r="L19" s="42" t="n"/>
      <c r="M19" s="42" t="n"/>
      <c r="N19" s="34">
        <f>IF(OR(O19="G",O19="D"),0,IF(AND(K19="",L19=""),0,MAX(0,IFERROR(K19+0,0)+IFERROR(L19+0,0)-IFERROR(M19+0,0))))</f>
        <v/>
      </c>
      <c r="O19" s="43" t="n"/>
      <c r="P19" s="36">
        <f>IF(B19="","",IF(OR(J19="G",J19="D"),0,I19)+IF(OR(O19="G",O19="D"),0,N19))</f>
        <v/>
      </c>
      <c r="Q19" s="37">
        <f>IF(OR(B19="",P19=0),"-",RANK.EQ(P19,$P$6:$P$45,0))</f>
        <v/>
      </c>
      <c r="R19" s="43">
        <f>IF(OR(B19="",I19=0),"-",IF(OR(J19="G",J19="D"),IF(J19="G","G","D"),COUNTIF($I$6:$I$45,"&gt;"&amp;I19)+1))</f>
        <v/>
      </c>
      <c r="S19" s="43">
        <f>IF(OR(B19="",N19=0),"-",IF(OR(O19="G",O19="D"),IF(O19="G","G","D"),COUNTIF($N$6:$N$45,"&gt;"&amp;N19)+1))</f>
        <v/>
      </c>
    </row>
    <row r="20">
      <c r="A20" s="29" t="n">
        <v>15</v>
      </c>
      <c r="B20" s="30" t="n"/>
      <c r="C20" s="30" t="n"/>
      <c r="D20" s="31" t="n"/>
      <c r="E20" s="32" t="n"/>
      <c r="F20" s="33" t="n"/>
      <c r="G20" s="33" t="n"/>
      <c r="H20" s="33" t="n"/>
      <c r="I20" s="34">
        <f>IF(OR(J20="G",J20="D"),0,IF(AND(F20="",G20=""),0,MAX(0,IFERROR(F20+0,0)+IFERROR(G20+0,0)-IFERROR(H20+0,0))))</f>
        <v/>
      </c>
      <c r="J20" s="35" t="n"/>
      <c r="K20" s="33" t="n"/>
      <c r="L20" s="33" t="n"/>
      <c r="M20" s="33" t="n"/>
      <c r="N20" s="34">
        <f>IF(OR(O20="G",O20="D"),0,IF(AND(K20="",L20=""),0,MAX(0,IFERROR(K20+0,0)+IFERROR(L20+0,0)-IFERROR(M20+0,0))))</f>
        <v/>
      </c>
      <c r="O20" s="35" t="n"/>
      <c r="P20" s="36">
        <f>IF(B20="","",IF(OR(J20="G",J20="D"),0,I20)+IF(OR(O20="G",O20="D"),0,N20))</f>
        <v/>
      </c>
      <c r="Q20" s="37">
        <f>IF(OR(B20="",P20=0),"-",RANK.EQ(P20,$P$6:$P$45,0))</f>
        <v/>
      </c>
      <c r="R20" s="35">
        <f>IF(OR(B20="",I20=0),"-",IF(OR(J20="G",J20="D"),IF(J20="G","G","D"),COUNTIF($I$6:$I$45,"&gt;"&amp;I20)+1))</f>
        <v/>
      </c>
      <c r="S20" s="35">
        <f>IF(OR(B20="",N20=0),"-",IF(OR(O20="G",O20="D"),IF(O20="G","G","D"),COUNTIF($N$6:$N$45,"&gt;"&amp;N20)+1))</f>
        <v/>
      </c>
    </row>
    <row r="21">
      <c r="A21" s="38" t="n">
        <v>16</v>
      </c>
      <c r="B21" s="39" t="n"/>
      <c r="C21" s="39" t="n"/>
      <c r="D21" s="40" t="n"/>
      <c r="E21" s="41" t="n"/>
      <c r="F21" s="42" t="n"/>
      <c r="G21" s="42" t="n"/>
      <c r="H21" s="42" t="n"/>
      <c r="I21" s="34">
        <f>IF(OR(J21="G",J21="D"),0,IF(AND(F21="",G21=""),0,MAX(0,IFERROR(F21+0,0)+IFERROR(G21+0,0)-IFERROR(H21+0,0))))</f>
        <v/>
      </c>
      <c r="J21" s="43" t="n"/>
      <c r="K21" s="42" t="n"/>
      <c r="L21" s="42" t="n"/>
      <c r="M21" s="42" t="n"/>
      <c r="N21" s="34">
        <f>IF(OR(O21="G",O21="D"),0,IF(AND(K21="",L21=""),0,MAX(0,IFERROR(K21+0,0)+IFERROR(L21+0,0)-IFERROR(M21+0,0))))</f>
        <v/>
      </c>
      <c r="O21" s="43" t="n"/>
      <c r="P21" s="36">
        <f>IF(B21="","",IF(OR(J21="G",J21="D"),0,I21)+IF(OR(O21="G",O21="D"),0,N21))</f>
        <v/>
      </c>
      <c r="Q21" s="37">
        <f>IF(OR(B21="",P21=0),"-",RANK.EQ(P21,$P$6:$P$45,0))</f>
        <v/>
      </c>
      <c r="R21" s="43">
        <f>IF(OR(B21="",I21=0),"-",IF(OR(J21="G",J21="D"),IF(J21="G","G","D"),COUNTIF($I$6:$I$45,"&gt;"&amp;I21)+1))</f>
        <v/>
      </c>
      <c r="S21" s="43">
        <f>IF(OR(B21="",N21=0),"-",IF(OR(O21="G",O21="D"),IF(O21="G","G","D"),COUNTIF($N$6:$N$45,"&gt;"&amp;N21)+1))</f>
        <v/>
      </c>
    </row>
    <row r="22">
      <c r="A22" s="29" t="n">
        <v>17</v>
      </c>
      <c r="B22" s="30" t="n"/>
      <c r="C22" s="30" t="n"/>
      <c r="D22" s="31" t="n"/>
      <c r="E22" s="32" t="n"/>
      <c r="F22" s="33" t="n"/>
      <c r="G22" s="33" t="n"/>
      <c r="H22" s="33" t="n"/>
      <c r="I22" s="34">
        <f>IF(OR(J22="G",J22="D"),0,IF(AND(F22="",G22=""),0,MAX(0,IFERROR(F22+0,0)+IFERROR(G22+0,0)-IFERROR(H22+0,0))))</f>
        <v/>
      </c>
      <c r="J22" s="35" t="n"/>
      <c r="K22" s="33" t="n"/>
      <c r="L22" s="33" t="n"/>
      <c r="M22" s="33" t="n"/>
      <c r="N22" s="34">
        <f>IF(OR(O22="G",O22="D"),0,IF(AND(K22="",L22=""),0,MAX(0,IFERROR(K22+0,0)+IFERROR(L22+0,0)-IFERROR(M22+0,0))))</f>
        <v/>
      </c>
      <c r="O22" s="35" t="n"/>
      <c r="P22" s="36">
        <f>IF(B22="","",IF(OR(J22="G",J22="D"),0,I22)+IF(OR(O22="G",O22="D"),0,N22))</f>
        <v/>
      </c>
      <c r="Q22" s="37">
        <f>IF(OR(B22="",P22=0),"-",RANK.EQ(P22,$P$6:$P$45,0))</f>
        <v/>
      </c>
      <c r="R22" s="35">
        <f>IF(OR(B22="",I22=0),"-",IF(OR(J22="G",J22="D"),IF(J22="G","G","D"),COUNTIF($I$6:$I$45,"&gt;"&amp;I22)+1))</f>
        <v/>
      </c>
      <c r="S22" s="35">
        <f>IF(OR(B22="",N22=0),"-",IF(OR(O22="G",O22="D"),IF(O22="G","G","D"),COUNTIF($N$6:$N$45,"&gt;"&amp;N22)+1))</f>
        <v/>
      </c>
    </row>
    <row r="23">
      <c r="A23" s="38" t="n">
        <v>18</v>
      </c>
      <c r="B23" s="39" t="n"/>
      <c r="C23" s="39" t="n"/>
      <c r="D23" s="40" t="n"/>
      <c r="E23" s="41" t="n"/>
      <c r="F23" s="42" t="n"/>
      <c r="G23" s="42" t="n"/>
      <c r="H23" s="42" t="n"/>
      <c r="I23" s="34">
        <f>IF(OR(J23="G",J23="D"),0,IF(AND(F23="",G23=""),0,MAX(0,IFERROR(F23+0,0)+IFERROR(G23+0,0)-IFERROR(H23+0,0))))</f>
        <v/>
      </c>
      <c r="J23" s="43" t="n"/>
      <c r="K23" s="42" t="n"/>
      <c r="L23" s="42" t="n"/>
      <c r="M23" s="42" t="n"/>
      <c r="N23" s="34">
        <f>IF(OR(O23="G",O23="D"),0,IF(AND(K23="",L23=""),0,MAX(0,IFERROR(K23+0,0)+IFERROR(L23+0,0)-IFERROR(M23+0,0))))</f>
        <v/>
      </c>
      <c r="O23" s="43" t="n"/>
      <c r="P23" s="36">
        <f>IF(B23="","",IF(OR(J23="G",J23="D"),0,I23)+IF(OR(O23="G",O23="D"),0,N23))</f>
        <v/>
      </c>
      <c r="Q23" s="37">
        <f>IF(OR(B23="",P23=0),"-",RANK.EQ(P23,$P$6:$P$45,0))</f>
        <v/>
      </c>
      <c r="R23" s="43">
        <f>IF(OR(B23="",I23=0),"-",IF(OR(J23="G",J23="D"),IF(J23="G","G","D"),COUNTIF($I$6:$I$45,"&gt;"&amp;I23)+1))</f>
        <v/>
      </c>
      <c r="S23" s="43">
        <f>IF(OR(B23="",N23=0),"-",IF(OR(O23="G",O23="D"),IF(O23="G","G","D"),COUNTIF($N$6:$N$45,"&gt;"&amp;N23)+1))</f>
        <v/>
      </c>
    </row>
    <row r="24">
      <c r="A24" s="29" t="n">
        <v>19</v>
      </c>
      <c r="B24" s="30" t="n"/>
      <c r="C24" s="30" t="n"/>
      <c r="D24" s="31" t="n"/>
      <c r="E24" s="32" t="n"/>
      <c r="F24" s="33" t="n"/>
      <c r="G24" s="33" t="n"/>
      <c r="H24" s="33" t="n"/>
      <c r="I24" s="34">
        <f>IF(OR(J24="G",J24="D"),0,IF(AND(F24="",G24=""),0,MAX(0,IFERROR(F24+0,0)+IFERROR(G24+0,0)-IFERROR(H24+0,0))))</f>
        <v/>
      </c>
      <c r="J24" s="35" t="n"/>
      <c r="K24" s="33" t="n"/>
      <c r="L24" s="33" t="n"/>
      <c r="M24" s="33" t="n"/>
      <c r="N24" s="34">
        <f>IF(OR(O24="G",O24="D"),0,IF(AND(K24="",L24=""),0,MAX(0,IFERROR(K24+0,0)+IFERROR(L24+0,0)-IFERROR(M24+0,0))))</f>
        <v/>
      </c>
      <c r="O24" s="35" t="n"/>
      <c r="P24" s="36">
        <f>IF(B24="","",IF(OR(J24="G",J24="D"),0,I24)+IF(OR(O24="G",O24="D"),0,N24))</f>
        <v/>
      </c>
      <c r="Q24" s="37">
        <f>IF(OR(B24="",P24=0),"-",RANK.EQ(P24,$P$6:$P$45,0))</f>
        <v/>
      </c>
      <c r="R24" s="35">
        <f>IF(OR(B24="",I24=0),"-",IF(OR(J24="G",J24="D"),IF(J24="G","G","D"),COUNTIF($I$6:$I$45,"&gt;"&amp;I24)+1))</f>
        <v/>
      </c>
      <c r="S24" s="35">
        <f>IF(OR(B24="",N24=0),"-",IF(OR(O24="G",O24="D"),IF(O24="G","G","D"),COUNTIF($N$6:$N$45,"&gt;"&amp;N24)+1))</f>
        <v/>
      </c>
    </row>
    <row r="25">
      <c r="A25" s="38" t="n">
        <v>20</v>
      </c>
      <c r="B25" s="39" t="n"/>
      <c r="C25" s="39" t="n"/>
      <c r="D25" s="40" t="n"/>
      <c r="E25" s="41" t="n"/>
      <c r="F25" s="42" t="n"/>
      <c r="G25" s="42" t="n"/>
      <c r="H25" s="42" t="n"/>
      <c r="I25" s="34">
        <f>IF(OR(J25="G",J25="D"),0,IF(AND(F25="",G25=""),0,MAX(0,IFERROR(F25+0,0)+IFERROR(G25+0,0)-IFERROR(H25+0,0))))</f>
        <v/>
      </c>
      <c r="J25" s="43" t="n"/>
      <c r="K25" s="42" t="n"/>
      <c r="L25" s="42" t="n"/>
      <c r="M25" s="42" t="n"/>
      <c r="N25" s="34">
        <f>IF(OR(O25="G",O25="D"),0,IF(AND(K25="",L25=""),0,MAX(0,IFERROR(K25+0,0)+IFERROR(L25+0,0)-IFERROR(M25+0,0))))</f>
        <v/>
      </c>
      <c r="O25" s="43" t="n"/>
      <c r="P25" s="36">
        <f>IF(B25="","",IF(OR(J25="G",J25="D"),0,I25)+IF(OR(O25="G",O25="D"),0,N25))</f>
        <v/>
      </c>
      <c r="Q25" s="37">
        <f>IF(OR(B25="",P25=0),"-",RANK.EQ(P25,$P$6:$P$45,0))</f>
        <v/>
      </c>
      <c r="R25" s="43">
        <f>IF(OR(B25="",I25=0),"-",IF(OR(J25="G",J25="D"),IF(J25="G","G","D"),COUNTIF($I$6:$I$45,"&gt;"&amp;I25)+1))</f>
        <v/>
      </c>
      <c r="S25" s="43">
        <f>IF(OR(B25="",N25=0),"-",IF(OR(O25="G",O25="D"),IF(O25="G","G","D"),COUNTIF($N$6:$N$45,"&gt;"&amp;N25)+1))</f>
        <v/>
      </c>
    </row>
    <row r="26">
      <c r="A26" s="29" t="n">
        <v>21</v>
      </c>
      <c r="B26" s="30" t="n"/>
      <c r="C26" s="30" t="n"/>
      <c r="D26" s="31" t="n"/>
      <c r="E26" s="32" t="n"/>
      <c r="F26" s="33" t="n"/>
      <c r="G26" s="33" t="n"/>
      <c r="H26" s="33" t="n"/>
      <c r="I26" s="34">
        <f>IF(OR(J26="G",J26="D"),0,IF(AND(F26="",G26=""),0,MAX(0,IFERROR(F26+0,0)+IFERROR(G26+0,0)-IFERROR(H26+0,0))))</f>
        <v/>
      </c>
      <c r="J26" s="35" t="n"/>
      <c r="K26" s="33" t="n"/>
      <c r="L26" s="33" t="n"/>
      <c r="M26" s="33" t="n"/>
      <c r="N26" s="34">
        <f>IF(OR(O26="G",O26="D"),0,IF(AND(K26="",L26=""),0,MAX(0,IFERROR(K26+0,0)+IFERROR(L26+0,0)-IFERROR(M26+0,0))))</f>
        <v/>
      </c>
      <c r="O26" s="35" t="n"/>
      <c r="P26" s="36">
        <f>IF(B26="","",IF(OR(J26="G",J26="D"),0,I26)+IF(OR(O26="G",O26="D"),0,N26))</f>
        <v/>
      </c>
      <c r="Q26" s="37">
        <f>IF(OR(B26="",P26=0),"-",RANK.EQ(P26,$P$6:$P$45,0))</f>
        <v/>
      </c>
      <c r="R26" s="35">
        <f>IF(OR(B26="",I26=0),"-",IF(OR(J26="G",J26="D"),IF(J26="G","G","D"),COUNTIF($I$6:$I$45,"&gt;"&amp;I26)+1))</f>
        <v/>
      </c>
      <c r="S26" s="35">
        <f>IF(OR(B26="",N26=0),"-",IF(OR(O26="G",O26="D"),IF(O26="G","G","D"),COUNTIF($N$6:$N$45,"&gt;"&amp;N26)+1))</f>
        <v/>
      </c>
    </row>
    <row r="27">
      <c r="A27" s="38" t="n">
        <v>22</v>
      </c>
      <c r="B27" s="39" t="n"/>
      <c r="C27" s="39" t="n"/>
      <c r="D27" s="40" t="n"/>
      <c r="E27" s="41" t="n"/>
      <c r="F27" s="42" t="n"/>
      <c r="G27" s="42" t="n"/>
      <c r="H27" s="42" t="n"/>
      <c r="I27" s="34">
        <f>IF(OR(J27="G",J27="D"),0,IF(AND(F27="",G27=""),0,MAX(0,IFERROR(F27+0,0)+IFERROR(G27+0,0)-IFERROR(H27+0,0))))</f>
        <v/>
      </c>
      <c r="J27" s="43" t="n"/>
      <c r="K27" s="42" t="n"/>
      <c r="L27" s="42" t="n"/>
      <c r="M27" s="42" t="n"/>
      <c r="N27" s="34">
        <f>IF(OR(O27="G",O27="D"),0,IF(AND(K27="",L27=""),0,MAX(0,IFERROR(K27+0,0)+IFERROR(L27+0,0)-IFERROR(M27+0,0))))</f>
        <v/>
      </c>
      <c r="O27" s="43" t="n"/>
      <c r="P27" s="36">
        <f>IF(B27="","",IF(OR(J27="G",J27="D"),0,I27)+IF(OR(O27="G",O27="D"),0,N27))</f>
        <v/>
      </c>
      <c r="Q27" s="37">
        <f>IF(OR(B27="",P27=0),"-",RANK.EQ(P27,$P$6:$P$45,0))</f>
        <v/>
      </c>
      <c r="R27" s="43">
        <f>IF(OR(B27="",I27=0),"-",IF(OR(J27="G",J27="D"),IF(J27="G","G","D"),COUNTIF($I$6:$I$45,"&gt;"&amp;I27)+1))</f>
        <v/>
      </c>
      <c r="S27" s="43">
        <f>IF(OR(B27="",N27=0),"-",IF(OR(O27="G",O27="D"),IF(O27="G","G","D"),COUNTIF($N$6:$N$45,"&gt;"&amp;N27)+1))</f>
        <v/>
      </c>
    </row>
    <row r="28">
      <c r="A28" s="29" t="n">
        <v>23</v>
      </c>
      <c r="B28" s="30" t="n"/>
      <c r="C28" s="30" t="n"/>
      <c r="D28" s="31" t="n"/>
      <c r="E28" s="32" t="n"/>
      <c r="F28" s="33" t="n"/>
      <c r="G28" s="33" t="n"/>
      <c r="H28" s="33" t="n"/>
      <c r="I28" s="34">
        <f>IF(OR(J28="G",J28="D"),0,IF(AND(F28="",G28=""),0,MAX(0,IFERROR(F28+0,0)+IFERROR(G28+0,0)-IFERROR(H28+0,0))))</f>
        <v/>
      </c>
      <c r="J28" s="35" t="n"/>
      <c r="K28" s="33" t="n"/>
      <c r="L28" s="33" t="n"/>
      <c r="M28" s="33" t="n"/>
      <c r="N28" s="34">
        <f>IF(OR(O28="G",O28="D"),0,IF(AND(K28="",L28=""),0,MAX(0,IFERROR(K28+0,0)+IFERROR(L28+0,0)-IFERROR(M28+0,0))))</f>
        <v/>
      </c>
      <c r="O28" s="35" t="n"/>
      <c r="P28" s="36">
        <f>IF(B28="","",IF(OR(J28="G",J28="D"),0,I28)+IF(OR(O28="G",O28="D"),0,N28))</f>
        <v/>
      </c>
      <c r="Q28" s="37">
        <f>IF(OR(B28="",P28=0),"-",RANK.EQ(P28,$P$6:$P$45,0))</f>
        <v/>
      </c>
      <c r="R28" s="35">
        <f>IF(OR(B28="",I28=0),"-",IF(OR(J28="G",J28="D"),IF(J28="G","G","D"),COUNTIF($I$6:$I$45,"&gt;"&amp;I28)+1))</f>
        <v/>
      </c>
      <c r="S28" s="35">
        <f>IF(OR(B28="",N28=0),"-",IF(OR(O28="G",O28="D"),IF(O28="G","G","D"),COUNTIF($N$6:$N$45,"&gt;"&amp;N28)+1))</f>
        <v/>
      </c>
    </row>
    <row r="29">
      <c r="A29" s="38" t="n">
        <v>24</v>
      </c>
      <c r="B29" s="39" t="n"/>
      <c r="C29" s="39" t="n"/>
      <c r="D29" s="40" t="n"/>
      <c r="E29" s="41" t="n"/>
      <c r="F29" s="42" t="n"/>
      <c r="G29" s="42" t="n"/>
      <c r="H29" s="42" t="n"/>
      <c r="I29" s="34">
        <f>IF(OR(J29="G",J29="D"),0,IF(AND(F29="",G29=""),0,MAX(0,IFERROR(F29+0,0)+IFERROR(G29+0,0)-IFERROR(H29+0,0))))</f>
        <v/>
      </c>
      <c r="J29" s="43" t="n"/>
      <c r="K29" s="42" t="n"/>
      <c r="L29" s="42" t="n"/>
      <c r="M29" s="42" t="n"/>
      <c r="N29" s="34">
        <f>IF(OR(O29="G",O29="D"),0,IF(AND(K29="",L29=""),0,MAX(0,IFERROR(K29+0,0)+IFERROR(L29+0,0)-IFERROR(M29+0,0))))</f>
        <v/>
      </c>
      <c r="O29" s="43" t="n"/>
      <c r="P29" s="36">
        <f>IF(B29="","",IF(OR(J29="G",J29="D"),0,I29)+IF(OR(O29="G",O29="D"),0,N29))</f>
        <v/>
      </c>
      <c r="Q29" s="37">
        <f>IF(OR(B29="",P29=0),"-",RANK.EQ(P29,$P$6:$P$45,0))</f>
        <v/>
      </c>
      <c r="R29" s="43">
        <f>IF(OR(B29="",I29=0),"-",IF(OR(J29="G",J29="D"),IF(J29="G","G","D"),COUNTIF($I$6:$I$45,"&gt;"&amp;I29)+1))</f>
        <v/>
      </c>
      <c r="S29" s="43">
        <f>IF(OR(B29="",N29=0),"-",IF(OR(O29="G",O29="D"),IF(O29="G","G","D"),COUNTIF($N$6:$N$45,"&gt;"&amp;N29)+1))</f>
        <v/>
      </c>
    </row>
    <row r="30">
      <c r="A30" s="29" t="n">
        <v>25</v>
      </c>
      <c r="B30" s="30" t="n"/>
      <c r="C30" s="30" t="n"/>
      <c r="D30" s="31" t="n"/>
      <c r="E30" s="32" t="n"/>
      <c r="F30" s="33" t="n"/>
      <c r="G30" s="33" t="n"/>
      <c r="H30" s="33" t="n"/>
      <c r="I30" s="34">
        <f>IF(OR(J30="G",J30="D"),0,IF(AND(F30="",G30=""),0,MAX(0,IFERROR(F30+0,0)+IFERROR(G30+0,0)-IFERROR(H30+0,0))))</f>
        <v/>
      </c>
      <c r="J30" s="35" t="n"/>
      <c r="K30" s="33" t="n"/>
      <c r="L30" s="33" t="n"/>
      <c r="M30" s="33" t="n"/>
      <c r="N30" s="34">
        <f>IF(OR(O30="G",O30="D"),0,IF(AND(K30="",L30=""),0,MAX(0,IFERROR(K30+0,0)+IFERROR(L30+0,0)-IFERROR(M30+0,0))))</f>
        <v/>
      </c>
      <c r="O30" s="35" t="n"/>
      <c r="P30" s="36">
        <f>IF(B30="","",IF(OR(J30="G",J30="D"),0,I30)+IF(OR(O30="G",O30="D"),0,N30))</f>
        <v/>
      </c>
      <c r="Q30" s="37">
        <f>IF(OR(B30="",P30=0),"-",RANK.EQ(P30,$P$6:$P$45,0))</f>
        <v/>
      </c>
      <c r="R30" s="35">
        <f>IF(OR(B30="",I30=0),"-",IF(OR(J30="G",J30="D"),IF(J30="G","G","D"),COUNTIF($I$6:$I$45,"&gt;"&amp;I30)+1))</f>
        <v/>
      </c>
      <c r="S30" s="35">
        <f>IF(OR(B30="",N30=0),"-",IF(OR(O30="G",O30="D"),IF(O30="G","G","D"),COUNTIF($N$6:$N$45,"&gt;"&amp;N30)+1))</f>
        <v/>
      </c>
    </row>
    <row r="31">
      <c r="A31" s="38" t="n">
        <v>26</v>
      </c>
      <c r="B31" s="39" t="n"/>
      <c r="C31" s="39" t="n"/>
      <c r="D31" s="40" t="n"/>
      <c r="E31" s="41" t="n"/>
      <c r="F31" s="42" t="n"/>
      <c r="G31" s="42" t="n"/>
      <c r="H31" s="42" t="n"/>
      <c r="I31" s="34">
        <f>IF(OR(J31="G",J31="D"),0,IF(AND(F31="",G31=""),0,MAX(0,IFERROR(F31+0,0)+IFERROR(G31+0,0)-IFERROR(H31+0,0))))</f>
        <v/>
      </c>
      <c r="J31" s="43" t="n"/>
      <c r="K31" s="42" t="n"/>
      <c r="L31" s="42" t="n"/>
      <c r="M31" s="42" t="n"/>
      <c r="N31" s="34">
        <f>IF(OR(O31="G",O31="D"),0,IF(AND(K31="",L31=""),0,MAX(0,IFERROR(K31+0,0)+IFERROR(L31+0,0)-IFERROR(M31+0,0))))</f>
        <v/>
      </c>
      <c r="O31" s="43" t="n"/>
      <c r="P31" s="36">
        <f>IF(B31="","",IF(OR(J31="G",J31="D"),0,I31)+IF(OR(O31="G",O31="D"),0,N31))</f>
        <v/>
      </c>
      <c r="Q31" s="37">
        <f>IF(OR(B31="",P31=0),"-",RANK.EQ(P31,$P$6:$P$45,0))</f>
        <v/>
      </c>
      <c r="R31" s="43">
        <f>IF(OR(B31="",I31=0),"-",IF(OR(J31="G",J31="D"),IF(J31="G","G","D"),COUNTIF($I$6:$I$45,"&gt;"&amp;I31)+1))</f>
        <v/>
      </c>
      <c r="S31" s="43">
        <f>IF(OR(B31="",N31=0),"-",IF(OR(O31="G",O31="D"),IF(O31="G","G","D"),COUNTIF($N$6:$N$45,"&gt;"&amp;N31)+1))</f>
        <v/>
      </c>
    </row>
    <row r="32">
      <c r="A32" s="29" t="n">
        <v>27</v>
      </c>
      <c r="B32" s="30" t="n"/>
      <c r="C32" s="30" t="n"/>
      <c r="D32" s="31" t="n"/>
      <c r="E32" s="32" t="n"/>
      <c r="F32" s="33" t="n"/>
      <c r="G32" s="33" t="n"/>
      <c r="H32" s="33" t="n"/>
      <c r="I32" s="34">
        <f>IF(OR(J32="G",J32="D"),0,IF(AND(F32="",G32=""),0,MAX(0,IFERROR(F32+0,0)+IFERROR(G32+0,0)-IFERROR(H32+0,0))))</f>
        <v/>
      </c>
      <c r="J32" s="35" t="n"/>
      <c r="K32" s="33" t="n"/>
      <c r="L32" s="33" t="n"/>
      <c r="M32" s="33" t="n"/>
      <c r="N32" s="34">
        <f>IF(OR(O32="G",O32="D"),0,IF(AND(K32="",L32=""),0,MAX(0,IFERROR(K32+0,0)+IFERROR(L32+0,0)-IFERROR(M32+0,0))))</f>
        <v/>
      </c>
      <c r="O32" s="35" t="n"/>
      <c r="P32" s="36">
        <f>IF(B32="","",IF(OR(J32="G",J32="D"),0,I32)+IF(OR(O32="G",O32="D"),0,N32))</f>
        <v/>
      </c>
      <c r="Q32" s="37">
        <f>IF(OR(B32="",P32=0),"-",RANK.EQ(P32,$P$6:$P$45,0))</f>
        <v/>
      </c>
      <c r="R32" s="35">
        <f>IF(OR(B32="",I32=0),"-",IF(OR(J32="G",J32="D"),IF(J32="G","G","D"),COUNTIF($I$6:$I$45,"&gt;"&amp;I32)+1))</f>
        <v/>
      </c>
      <c r="S32" s="35">
        <f>IF(OR(B32="",N32=0),"-",IF(OR(O32="G",O32="D"),IF(O32="G","G","D"),COUNTIF($N$6:$N$45,"&gt;"&amp;N32)+1))</f>
        <v/>
      </c>
    </row>
    <row r="33">
      <c r="A33" s="38" t="n">
        <v>28</v>
      </c>
      <c r="B33" s="39" t="n"/>
      <c r="C33" s="39" t="n"/>
      <c r="D33" s="40" t="n"/>
      <c r="E33" s="41" t="n"/>
      <c r="F33" s="42" t="n"/>
      <c r="G33" s="42" t="n"/>
      <c r="H33" s="42" t="n"/>
      <c r="I33" s="34">
        <f>IF(OR(J33="G",J33="D"),0,IF(AND(F33="",G33=""),0,MAX(0,IFERROR(F33+0,0)+IFERROR(G33+0,0)-IFERROR(H33+0,0))))</f>
        <v/>
      </c>
      <c r="J33" s="43" t="n"/>
      <c r="K33" s="42" t="n"/>
      <c r="L33" s="42" t="n"/>
      <c r="M33" s="42" t="n"/>
      <c r="N33" s="34">
        <f>IF(OR(O33="G",O33="D"),0,IF(AND(K33="",L33=""),0,MAX(0,IFERROR(K33+0,0)+IFERROR(L33+0,0)-IFERROR(M33+0,0))))</f>
        <v/>
      </c>
      <c r="O33" s="43" t="n"/>
      <c r="P33" s="36">
        <f>IF(B33="","",IF(OR(J33="G",J33="D"),0,I33)+IF(OR(O33="G",O33="D"),0,N33))</f>
        <v/>
      </c>
      <c r="Q33" s="37">
        <f>IF(OR(B33="",P33=0),"-",RANK.EQ(P33,$P$6:$P$45,0))</f>
        <v/>
      </c>
      <c r="R33" s="43">
        <f>IF(OR(B33="",I33=0),"-",IF(OR(J33="G",J33="D"),IF(J33="G","G","D"),COUNTIF($I$6:$I$45,"&gt;"&amp;I33)+1))</f>
        <v/>
      </c>
      <c r="S33" s="43">
        <f>IF(OR(B33="",N33=0),"-",IF(OR(O33="G",O33="D"),IF(O33="G","G","D"),COUNTIF($N$6:$N$45,"&gt;"&amp;N33)+1))</f>
        <v/>
      </c>
    </row>
    <row r="34">
      <c r="A34" s="29" t="n">
        <v>29</v>
      </c>
      <c r="B34" s="30" t="n"/>
      <c r="C34" s="30" t="n"/>
      <c r="D34" s="31" t="n"/>
      <c r="E34" s="32" t="n"/>
      <c r="F34" s="33" t="n"/>
      <c r="G34" s="33" t="n"/>
      <c r="H34" s="33" t="n"/>
      <c r="I34" s="34">
        <f>IF(OR(J34="G",J34="D"),0,IF(AND(F34="",G34=""),0,MAX(0,IFERROR(F34+0,0)+IFERROR(G34+0,0)-IFERROR(H34+0,0))))</f>
        <v/>
      </c>
      <c r="J34" s="35" t="n"/>
      <c r="K34" s="33" t="n"/>
      <c r="L34" s="33" t="n"/>
      <c r="M34" s="33" t="n"/>
      <c r="N34" s="34">
        <f>IF(OR(O34="G",O34="D"),0,IF(AND(K34="",L34=""),0,MAX(0,IFERROR(K34+0,0)+IFERROR(L34+0,0)-IFERROR(M34+0,0))))</f>
        <v/>
      </c>
      <c r="O34" s="35" t="n"/>
      <c r="P34" s="36">
        <f>IF(B34="","",IF(OR(J34="G",J34="D"),0,I34)+IF(OR(O34="G",O34="D"),0,N34))</f>
        <v/>
      </c>
      <c r="Q34" s="37">
        <f>IF(OR(B34="",P34=0),"-",RANK.EQ(P34,$P$6:$P$45,0))</f>
        <v/>
      </c>
      <c r="R34" s="35">
        <f>IF(OR(B34="",I34=0),"-",IF(OR(J34="G",J34="D"),IF(J34="G","G","D"),COUNTIF($I$6:$I$45,"&gt;"&amp;I34)+1))</f>
        <v/>
      </c>
      <c r="S34" s="35">
        <f>IF(OR(B34="",N34=0),"-",IF(OR(O34="G",O34="D"),IF(O34="G","G","D"),COUNTIF($N$6:$N$45,"&gt;"&amp;N34)+1))</f>
        <v/>
      </c>
    </row>
    <row r="35">
      <c r="A35" s="38" t="n">
        <v>30</v>
      </c>
      <c r="B35" s="39" t="n"/>
      <c r="C35" s="39" t="n"/>
      <c r="D35" s="40" t="n"/>
      <c r="E35" s="41" t="n"/>
      <c r="F35" s="42" t="n"/>
      <c r="G35" s="42" t="n"/>
      <c r="H35" s="42" t="n"/>
      <c r="I35" s="34">
        <f>IF(OR(J35="G",J35="D"),0,IF(AND(F35="",G35=""),0,MAX(0,IFERROR(F35+0,0)+IFERROR(G35+0,0)-IFERROR(H35+0,0))))</f>
        <v/>
      </c>
      <c r="J35" s="43" t="n"/>
      <c r="K35" s="42" t="n"/>
      <c r="L35" s="42" t="n"/>
      <c r="M35" s="42" t="n"/>
      <c r="N35" s="34">
        <f>IF(OR(O35="G",O35="D"),0,IF(AND(K35="",L35=""),0,MAX(0,IFERROR(K35+0,0)+IFERROR(L35+0,0)-IFERROR(M35+0,0))))</f>
        <v/>
      </c>
      <c r="O35" s="43" t="n"/>
      <c r="P35" s="36">
        <f>IF(B35="","",IF(OR(J35="G",J35="D"),0,I35)+IF(OR(O35="G",O35="D"),0,N35))</f>
        <v/>
      </c>
      <c r="Q35" s="37">
        <f>IF(OR(B35="",P35=0),"-",RANK.EQ(P35,$P$6:$P$45,0))</f>
        <v/>
      </c>
      <c r="R35" s="43">
        <f>IF(OR(B35="",I35=0),"-",IF(OR(J35="G",J35="D"),IF(J35="G","G","D"),COUNTIF($I$6:$I$45,"&gt;"&amp;I35)+1))</f>
        <v/>
      </c>
      <c r="S35" s="43">
        <f>IF(OR(B35="",N35=0),"-",IF(OR(O35="G",O35="D"),IF(O35="G","G","D"),COUNTIF($N$6:$N$45,"&gt;"&amp;N35)+1))</f>
        <v/>
      </c>
    </row>
    <row r="36">
      <c r="A36" s="29" t="n">
        <v>31</v>
      </c>
      <c r="B36" s="30" t="n"/>
      <c r="C36" s="30" t="n"/>
      <c r="D36" s="31" t="n"/>
      <c r="E36" s="32" t="n"/>
      <c r="F36" s="33" t="n"/>
      <c r="G36" s="33" t="n"/>
      <c r="H36" s="33" t="n"/>
      <c r="I36" s="34">
        <f>IF(OR(J36="G",J36="D"),0,IF(AND(F36="",G36=""),0,MAX(0,IFERROR(F36+0,0)+IFERROR(G36+0,0)-IFERROR(H36+0,0))))</f>
        <v/>
      </c>
      <c r="J36" s="35" t="n"/>
      <c r="K36" s="33" t="n"/>
      <c r="L36" s="33" t="n"/>
      <c r="M36" s="33" t="n"/>
      <c r="N36" s="34">
        <f>IF(OR(O36="G",O36="D"),0,IF(AND(K36="",L36=""),0,MAX(0,IFERROR(K36+0,0)+IFERROR(L36+0,0)-IFERROR(M36+0,0))))</f>
        <v/>
      </c>
      <c r="O36" s="35" t="n"/>
      <c r="P36" s="36">
        <f>IF(B36="","",IF(OR(J36="G",J36="D"),0,I36)+IF(OR(O36="G",O36="D"),0,N36))</f>
        <v/>
      </c>
      <c r="Q36" s="37">
        <f>IF(OR(B36="",P36=0),"-",RANK.EQ(P36,$P$6:$P$45,0))</f>
        <v/>
      </c>
      <c r="R36" s="35">
        <f>IF(OR(B36="",I36=0),"-",IF(OR(J36="G",J36="D"),IF(J36="G","G","D"),COUNTIF($I$6:$I$45,"&gt;"&amp;I36)+1))</f>
        <v/>
      </c>
      <c r="S36" s="35">
        <f>IF(OR(B36="",N36=0),"-",IF(OR(O36="G",O36="D"),IF(O36="G","G","D"),COUNTIF($N$6:$N$45,"&gt;"&amp;N36)+1))</f>
        <v/>
      </c>
    </row>
    <row r="37">
      <c r="A37" s="38" t="n">
        <v>32</v>
      </c>
      <c r="B37" s="39" t="n"/>
      <c r="C37" s="39" t="n"/>
      <c r="D37" s="40" t="n"/>
      <c r="E37" s="41" t="n"/>
      <c r="F37" s="42" t="n"/>
      <c r="G37" s="42" t="n"/>
      <c r="H37" s="42" t="n"/>
      <c r="I37" s="34">
        <f>IF(OR(J37="G",J37="D"),0,IF(AND(F37="",G37=""),0,MAX(0,IFERROR(F37+0,0)+IFERROR(G37+0,0)-IFERROR(H37+0,0))))</f>
        <v/>
      </c>
      <c r="J37" s="43" t="n"/>
      <c r="K37" s="42" t="n"/>
      <c r="L37" s="42" t="n"/>
      <c r="M37" s="42" t="n"/>
      <c r="N37" s="34">
        <f>IF(OR(O37="G",O37="D"),0,IF(AND(K37="",L37=""),0,MAX(0,IFERROR(K37+0,0)+IFERROR(L37+0,0)-IFERROR(M37+0,0))))</f>
        <v/>
      </c>
      <c r="O37" s="43" t="n"/>
      <c r="P37" s="36">
        <f>IF(B37="","",IF(OR(J37="G",J37="D"),0,I37)+IF(OR(O37="G",O37="D"),0,N37))</f>
        <v/>
      </c>
      <c r="Q37" s="37">
        <f>IF(OR(B37="",P37=0),"-",RANK.EQ(P37,$P$6:$P$45,0))</f>
        <v/>
      </c>
      <c r="R37" s="43">
        <f>IF(OR(B37="",I37=0),"-",IF(OR(J37="G",J37="D"),IF(J37="G","G","D"),COUNTIF($I$6:$I$45,"&gt;"&amp;I37)+1))</f>
        <v/>
      </c>
      <c r="S37" s="43">
        <f>IF(OR(B37="",N37=0),"-",IF(OR(O37="G",O37="D"),IF(O37="G","G","D"),COUNTIF($N$6:$N$45,"&gt;"&amp;N37)+1))</f>
        <v/>
      </c>
    </row>
    <row r="38">
      <c r="A38" s="29" t="n">
        <v>33</v>
      </c>
      <c r="B38" s="30" t="n"/>
      <c r="C38" s="30" t="n"/>
      <c r="D38" s="31" t="n"/>
      <c r="E38" s="32" t="n"/>
      <c r="F38" s="33" t="n"/>
      <c r="G38" s="33" t="n"/>
      <c r="H38" s="33" t="n"/>
      <c r="I38" s="34">
        <f>IF(OR(J38="G",J38="D"),0,IF(AND(F38="",G38=""),0,MAX(0,IFERROR(F38+0,0)+IFERROR(G38+0,0)-IFERROR(H38+0,0))))</f>
        <v/>
      </c>
      <c r="J38" s="35" t="n"/>
      <c r="K38" s="33" t="n"/>
      <c r="L38" s="33" t="n"/>
      <c r="M38" s="33" t="n"/>
      <c r="N38" s="34">
        <f>IF(OR(O38="G",O38="D"),0,IF(AND(K38="",L38=""),0,MAX(0,IFERROR(K38+0,0)+IFERROR(L38+0,0)-IFERROR(M38+0,0))))</f>
        <v/>
      </c>
      <c r="O38" s="35" t="n"/>
      <c r="P38" s="36">
        <f>IF(B38="","",IF(OR(J38="G",J38="D"),0,I38)+IF(OR(O38="G",O38="D"),0,N38))</f>
        <v/>
      </c>
      <c r="Q38" s="37">
        <f>IF(OR(B38="",P38=0),"-",RANK.EQ(P38,$P$6:$P$45,0))</f>
        <v/>
      </c>
      <c r="R38" s="35">
        <f>IF(OR(B38="",I38=0),"-",IF(OR(J38="G",J38="D"),IF(J38="G","G","D"),COUNTIF($I$6:$I$45,"&gt;"&amp;I38)+1))</f>
        <v/>
      </c>
      <c r="S38" s="35">
        <f>IF(OR(B38="",N38=0),"-",IF(OR(O38="G",O38="D"),IF(O38="G","G","D"),COUNTIF($N$6:$N$45,"&gt;"&amp;N38)+1))</f>
        <v/>
      </c>
    </row>
    <row r="39">
      <c r="A39" s="38" t="n">
        <v>34</v>
      </c>
      <c r="B39" s="39" t="n"/>
      <c r="C39" s="39" t="n"/>
      <c r="D39" s="40" t="n"/>
      <c r="E39" s="41" t="n"/>
      <c r="F39" s="42" t="n"/>
      <c r="G39" s="42" t="n"/>
      <c r="H39" s="42" t="n"/>
      <c r="I39" s="34">
        <f>IF(OR(J39="G",J39="D"),0,IF(AND(F39="",G39=""),0,MAX(0,IFERROR(F39+0,0)+IFERROR(G39+0,0)-IFERROR(H39+0,0))))</f>
        <v/>
      </c>
      <c r="J39" s="43" t="n"/>
      <c r="K39" s="42" t="n"/>
      <c r="L39" s="42" t="n"/>
      <c r="M39" s="42" t="n"/>
      <c r="N39" s="34">
        <f>IF(OR(O39="G",O39="D"),0,IF(AND(K39="",L39=""),0,MAX(0,IFERROR(K39+0,0)+IFERROR(L39+0,0)-IFERROR(M39+0,0))))</f>
        <v/>
      </c>
      <c r="O39" s="43" t="n"/>
      <c r="P39" s="36">
        <f>IF(B39="","",IF(OR(J39="G",J39="D"),0,I39)+IF(OR(O39="G",O39="D"),0,N39))</f>
        <v/>
      </c>
      <c r="Q39" s="37">
        <f>IF(OR(B39="",P39=0),"-",RANK.EQ(P39,$P$6:$P$45,0))</f>
        <v/>
      </c>
      <c r="R39" s="43">
        <f>IF(OR(B39="",I39=0),"-",IF(OR(J39="G",J39="D"),IF(J39="G","G","D"),COUNTIF($I$6:$I$45,"&gt;"&amp;I39)+1))</f>
        <v/>
      </c>
      <c r="S39" s="43">
        <f>IF(OR(B39="",N39=0),"-",IF(OR(O39="G",O39="D"),IF(O39="G","G","D"),COUNTIF($N$6:$N$45,"&gt;"&amp;N39)+1))</f>
        <v/>
      </c>
    </row>
    <row r="40">
      <c r="A40" s="29" t="n">
        <v>35</v>
      </c>
      <c r="B40" s="30" t="n"/>
      <c r="C40" s="30" t="n"/>
      <c r="D40" s="31" t="n"/>
      <c r="E40" s="32" t="n"/>
      <c r="F40" s="33" t="n"/>
      <c r="G40" s="33" t="n"/>
      <c r="H40" s="33" t="n"/>
      <c r="I40" s="34">
        <f>IF(OR(J40="G",J40="D"),0,IF(AND(F40="",G40=""),0,MAX(0,IFERROR(F40+0,0)+IFERROR(G40+0,0)-IFERROR(H40+0,0))))</f>
        <v/>
      </c>
      <c r="J40" s="35" t="n"/>
      <c r="K40" s="33" t="n"/>
      <c r="L40" s="33" t="n"/>
      <c r="M40" s="33" t="n"/>
      <c r="N40" s="34">
        <f>IF(OR(O40="G",O40="D"),0,IF(AND(K40="",L40=""),0,MAX(0,IFERROR(K40+0,0)+IFERROR(L40+0,0)-IFERROR(M40+0,0))))</f>
        <v/>
      </c>
      <c r="O40" s="35" t="n"/>
      <c r="P40" s="36">
        <f>IF(B40="","",IF(OR(J40="G",J40="D"),0,I40)+IF(OR(O40="G",O40="D"),0,N40))</f>
        <v/>
      </c>
      <c r="Q40" s="37">
        <f>IF(OR(B40="",P40=0),"-",RANK.EQ(P40,$P$6:$P$45,0))</f>
        <v/>
      </c>
      <c r="R40" s="35">
        <f>IF(OR(B40="",I40=0),"-",IF(OR(J40="G",J40="D"),IF(J40="G","G","D"),COUNTIF($I$6:$I$45,"&gt;"&amp;I40)+1))</f>
        <v/>
      </c>
      <c r="S40" s="35">
        <f>IF(OR(B40="",N40=0),"-",IF(OR(O40="G",O40="D"),IF(O40="G","G","D"),COUNTIF($N$6:$N$45,"&gt;"&amp;N40)+1))</f>
        <v/>
      </c>
    </row>
    <row r="41">
      <c r="A41" s="38" t="n">
        <v>36</v>
      </c>
      <c r="B41" s="39" t="n"/>
      <c r="C41" s="39" t="n"/>
      <c r="D41" s="40" t="n"/>
      <c r="E41" s="41" t="n"/>
      <c r="F41" s="42" t="n"/>
      <c r="G41" s="42" t="n"/>
      <c r="H41" s="42" t="n"/>
      <c r="I41" s="34">
        <f>IF(OR(J41="G",J41="D"),0,IF(AND(F41="",G41=""),0,MAX(0,IFERROR(F41+0,0)+IFERROR(G41+0,0)-IFERROR(H41+0,0))))</f>
        <v/>
      </c>
      <c r="J41" s="43" t="n"/>
      <c r="K41" s="42" t="n"/>
      <c r="L41" s="42" t="n"/>
      <c r="M41" s="42" t="n"/>
      <c r="N41" s="34">
        <f>IF(OR(O41="G",O41="D"),0,IF(AND(K41="",L41=""),0,MAX(0,IFERROR(K41+0,0)+IFERROR(L41+0,0)-IFERROR(M41+0,0))))</f>
        <v/>
      </c>
      <c r="O41" s="43" t="n"/>
      <c r="P41" s="36">
        <f>IF(B41="","",IF(OR(J41="G",J41="D"),0,I41)+IF(OR(O41="G",O41="D"),0,N41))</f>
        <v/>
      </c>
      <c r="Q41" s="37">
        <f>IF(OR(B41="",P41=0),"-",RANK.EQ(P41,$P$6:$P$45,0))</f>
        <v/>
      </c>
      <c r="R41" s="43">
        <f>IF(OR(B41="",I41=0),"-",IF(OR(J41="G",J41="D"),IF(J41="G","G","D"),COUNTIF($I$6:$I$45,"&gt;"&amp;I41)+1))</f>
        <v/>
      </c>
      <c r="S41" s="43">
        <f>IF(OR(B41="",N41=0),"-",IF(OR(O41="G",O41="D"),IF(O41="G","G","D"),COUNTIF($N$6:$N$45,"&gt;"&amp;N41)+1))</f>
        <v/>
      </c>
    </row>
    <row r="42">
      <c r="A42" s="29" t="n">
        <v>37</v>
      </c>
      <c r="B42" s="30" t="n"/>
      <c r="C42" s="30" t="n"/>
      <c r="D42" s="31" t="n"/>
      <c r="E42" s="32" t="n"/>
      <c r="F42" s="33" t="n"/>
      <c r="G42" s="33" t="n"/>
      <c r="H42" s="33" t="n"/>
      <c r="I42" s="34">
        <f>IF(OR(J42="G",J42="D"),0,IF(AND(F42="",G42=""),0,MAX(0,IFERROR(F42+0,0)+IFERROR(G42+0,0)-IFERROR(H42+0,0))))</f>
        <v/>
      </c>
      <c r="J42" s="35" t="n"/>
      <c r="K42" s="33" t="n"/>
      <c r="L42" s="33" t="n"/>
      <c r="M42" s="33" t="n"/>
      <c r="N42" s="34">
        <f>IF(OR(O42="G",O42="D"),0,IF(AND(K42="",L42=""),0,MAX(0,IFERROR(K42+0,0)+IFERROR(L42+0,0)-IFERROR(M42+0,0))))</f>
        <v/>
      </c>
      <c r="O42" s="35" t="n"/>
      <c r="P42" s="36">
        <f>IF(B42="","",IF(OR(J42="G",J42="D"),0,I42)+IF(OR(O42="G",O42="D"),0,N42))</f>
        <v/>
      </c>
      <c r="Q42" s="37">
        <f>IF(OR(B42="",P42=0),"-",RANK.EQ(P42,$P$6:$P$45,0))</f>
        <v/>
      </c>
      <c r="R42" s="35">
        <f>IF(OR(B42="",I42=0),"-",IF(OR(J42="G",J42="D"),IF(J42="G","G","D"),COUNTIF($I$6:$I$45,"&gt;"&amp;I42)+1))</f>
        <v/>
      </c>
      <c r="S42" s="35">
        <f>IF(OR(B42="",N42=0),"-",IF(OR(O42="G",O42="D"),IF(O42="G","G","D"),COUNTIF($N$6:$N$45,"&gt;"&amp;N42)+1))</f>
        <v/>
      </c>
    </row>
    <row r="43">
      <c r="A43" s="38" t="n">
        <v>38</v>
      </c>
      <c r="B43" s="39" t="n"/>
      <c r="C43" s="39" t="n"/>
      <c r="D43" s="40" t="n"/>
      <c r="E43" s="41" t="n"/>
      <c r="F43" s="42" t="n"/>
      <c r="G43" s="42" t="n"/>
      <c r="H43" s="42" t="n"/>
      <c r="I43" s="34">
        <f>IF(OR(J43="G",J43="D"),0,IF(AND(F43="",G43=""),0,MAX(0,IFERROR(F43+0,0)+IFERROR(G43+0,0)-IFERROR(H43+0,0))))</f>
        <v/>
      </c>
      <c r="J43" s="43" t="n"/>
      <c r="K43" s="42" t="n"/>
      <c r="L43" s="42" t="n"/>
      <c r="M43" s="42" t="n"/>
      <c r="N43" s="34">
        <f>IF(OR(O43="G",O43="D"),0,IF(AND(K43="",L43=""),0,MAX(0,IFERROR(K43+0,0)+IFERROR(L43+0,0)-IFERROR(M43+0,0))))</f>
        <v/>
      </c>
      <c r="O43" s="43" t="n"/>
      <c r="P43" s="36">
        <f>IF(B43="","",IF(OR(J43="G",J43="D"),0,I43)+IF(OR(O43="G",O43="D"),0,N43))</f>
        <v/>
      </c>
      <c r="Q43" s="37">
        <f>IF(OR(B43="",P43=0),"-",RANK.EQ(P43,$P$6:$P$45,0))</f>
        <v/>
      </c>
      <c r="R43" s="43">
        <f>IF(OR(B43="",I43=0),"-",IF(OR(J43="G",J43="D"),IF(J43="G","G","D"),COUNTIF($I$6:$I$45,"&gt;"&amp;I43)+1))</f>
        <v/>
      </c>
      <c r="S43" s="43">
        <f>IF(OR(B43="",N43=0),"-",IF(OR(O43="G",O43="D"),IF(O43="G","G","D"),COUNTIF($N$6:$N$45,"&gt;"&amp;N43)+1))</f>
        <v/>
      </c>
    </row>
    <row r="44">
      <c r="A44" s="29" t="n">
        <v>39</v>
      </c>
      <c r="B44" s="30" t="n"/>
      <c r="C44" s="30" t="n"/>
      <c r="D44" s="31" t="n"/>
      <c r="E44" s="32" t="n"/>
      <c r="F44" s="33" t="n"/>
      <c r="G44" s="33" t="n"/>
      <c r="H44" s="33" t="n"/>
      <c r="I44" s="34">
        <f>IF(OR(J44="G",J44="D"),0,IF(AND(F44="",G44=""),0,MAX(0,IFERROR(F44+0,0)+IFERROR(G44+0,0)-IFERROR(H44+0,0))))</f>
        <v/>
      </c>
      <c r="J44" s="35" t="n"/>
      <c r="K44" s="33" t="n"/>
      <c r="L44" s="33" t="n"/>
      <c r="M44" s="33" t="n"/>
      <c r="N44" s="34">
        <f>IF(OR(O44="G",O44="D"),0,IF(AND(K44="",L44=""),0,MAX(0,IFERROR(K44+0,0)+IFERROR(L44+0,0)-IFERROR(M44+0,0))))</f>
        <v/>
      </c>
      <c r="O44" s="35" t="n"/>
      <c r="P44" s="36">
        <f>IF(B44="","",IF(OR(J44="G",J44="D"),0,I44)+IF(OR(O44="G",O44="D"),0,N44))</f>
        <v/>
      </c>
      <c r="Q44" s="37">
        <f>IF(OR(B44="",P44=0),"-",RANK.EQ(P44,$P$6:$P$45,0))</f>
        <v/>
      </c>
      <c r="R44" s="35">
        <f>IF(OR(B44="",I44=0),"-",IF(OR(J44="G",J44="D"),IF(J44="G","G","D"),COUNTIF($I$6:$I$45,"&gt;"&amp;I44)+1))</f>
        <v/>
      </c>
      <c r="S44" s="35">
        <f>IF(OR(B44="",N44=0),"-",IF(OR(O44="G",O44="D"),IF(O44="G","G","D"),COUNTIF($N$6:$N$45,"&gt;"&amp;N44)+1))</f>
        <v/>
      </c>
    </row>
    <row r="45">
      <c r="A45" s="38" t="n">
        <v>40</v>
      </c>
      <c r="B45" s="39" t="n"/>
      <c r="C45" s="39" t="n"/>
      <c r="D45" s="40" t="n"/>
      <c r="E45" s="41" t="n"/>
      <c r="F45" s="42" t="n"/>
      <c r="G45" s="42" t="n"/>
      <c r="H45" s="42" t="n"/>
      <c r="I45" s="34">
        <f>IF(OR(J45="G",J45="D"),0,IF(AND(F45="",G45=""),0,MAX(0,IFERROR(F45+0,0)+IFERROR(G45+0,0)-IFERROR(H45+0,0))))</f>
        <v/>
      </c>
      <c r="J45" s="43" t="n"/>
      <c r="K45" s="42" t="n"/>
      <c r="L45" s="42" t="n"/>
      <c r="M45" s="42" t="n"/>
      <c r="N45" s="34">
        <f>IF(OR(O45="G",O45="D"),0,IF(AND(K45="",L45=""),0,MAX(0,IFERROR(K45+0,0)+IFERROR(L45+0,0)-IFERROR(M45+0,0))))</f>
        <v/>
      </c>
      <c r="O45" s="43" t="n"/>
      <c r="P45" s="36">
        <f>IF(B45="","",IF(OR(J45="G",J45="D"),0,I45)+IF(OR(O45="G",O45="D"),0,N45))</f>
        <v/>
      </c>
      <c r="Q45" s="37">
        <f>IF(OR(B45="",P45=0),"-",RANK.EQ(P45,$P$6:$P$45,0))</f>
        <v/>
      </c>
      <c r="R45" s="43">
        <f>IF(OR(B45="",I45=0),"-",IF(OR(J45="G",J45="D"),IF(J45="G","G","D"),COUNTIF($I$6:$I$45,"&gt;"&amp;I45)+1))</f>
        <v/>
      </c>
      <c r="S45" s="43">
        <f>IF(OR(B45="",N45=0),"-",IF(OR(O45="G",O45="D"),IF(O45="G","G","D"),COUNTIF($N$6:$N$45,"&gt;"&amp;N45)+1))</f>
        <v/>
      </c>
    </row>
    <row r="47">
      <c r="A47" s="44">
        <f>COUNTA(B6:B45)&amp;" sporcu kayıtlı"</f>
        <v/>
      </c>
    </row>
  </sheetData>
  <mergeCells count="7">
    <mergeCell ref="K3:O3"/>
    <mergeCell ref="F3:J3"/>
    <mergeCell ref="A5:S5"/>
    <mergeCell ref="A1:S1"/>
    <mergeCell ref="A47:E47"/>
    <mergeCell ref="R3:S3"/>
    <mergeCell ref="A2:S2"/>
  </mergeCells>
  <conditionalFormatting sqref="Q6:Q45">
    <cfRule type="cellIs" priority="1" operator="equal" dxfId="0">
      <formula>1</formula>
    </cfRule>
    <cfRule type="cellIs" priority="2" operator="equal" dxfId="1">
      <formula>2</formula>
    </cfRule>
    <cfRule type="cellIs" priority="3" operator="equal" dxfId="2">
      <formula>3</formula>
    </cfRule>
  </conditionalFormatting>
  <conditionalFormatting sqref="J6:J45">
    <cfRule type="cellIs" priority="4" operator="equal" dxfId="3">
      <formula>"G"</formula>
    </cfRule>
    <cfRule type="cellIs" priority="5" operator="equal" dxfId="4">
      <formula>"D"</formula>
    </cfRule>
  </conditionalFormatting>
  <conditionalFormatting sqref="O6:O45">
    <cfRule type="cellIs" priority="6" operator="equal" dxfId="3">
      <formula>"G"</formula>
    </cfRule>
    <cfRule type="cellIs" priority="7" operator="equal" dxfId="4">
      <formula>"D"</formula>
    </cfRule>
  </conditionalFormatting>
  <dataValidations count="2">
    <dataValidation sqref="E6 E7 E8 E9 E10 E11 E12 E13 E14 E15 E16 E17 E18 E19 E20 E21 E22 E23 E24 E25 E26 E27 E28 E29 E30 E31 E32 E33 E34 E35 E36 E37 E38 E39 E40 E41 E42 E43 E44 E45" showDropDown="0" showInputMessage="0" showErrorMessage="0" allowBlank="1" type="list">
      <formula1>"Bireysel,Takım"</formula1>
    </dataValidation>
    <dataValidation sqref="J6 J7 J8 J9 J10 J11 J12 J13 J14 J15 J16 J17 J18 J19 J20 J21 J22 J23 J24 J25 J26 J27 J28 J29 J30 J31 J32 J33 J34 J35 J36 J37 J38 J39 J40 J41 J42 J43 J44 J45 O6 O7 O8 O9 O10 O11 O12 O13 O14 O15 O16 O17 O18 O19 O20 O21 O22 O23 O24 O25 O26 O27 O28 O29 O30 O31 O32 O33 O34 O35 O36 O37 O38 O39 O40 O41 O42 O43 O44 O45" showDropDown="0" showInputMessage="0" showErrorMessage="0" allowBlank="1" type="list">
      <formula1>"N,G,D"</formula1>
    </dataValidation>
  </dataValidations>
  <pageMargins left="0.4" right="0.4" top="0.5" bottom="0.5"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S4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4" customWidth="1" min="3" max="3"/>
    <col width="26" customWidth="1" min="4" max="4"/>
    <col width="10" customWidth="1" min="5" max="5"/>
    <col width="6.5" customWidth="1" min="6" max="6"/>
    <col width="6.5" customWidth="1" min="7" max="7"/>
    <col width="6.5" customWidth="1" min="8" max="8"/>
    <col width="9" customWidth="1" min="9" max="9"/>
    <col width="6" customWidth="1" min="10" max="10"/>
    <col width="6.5" customWidth="1" min="11" max="11"/>
    <col width="6.5" customWidth="1" min="12" max="12"/>
    <col width="6.5" customWidth="1" min="13" max="13"/>
    <col width="9" customWidth="1" min="14" max="14"/>
    <col width="6" customWidth="1" min="15" max="15"/>
    <col width="11" customWidth="1" min="16" max="16"/>
    <col width="9" customWidth="1" min="17" max="17"/>
    <col width="7" customWidth="1" min="18" max="18"/>
    <col width="7" customWidth="1" min="19" max="19"/>
  </cols>
  <sheetData>
    <row r="1" ht="32" customHeight="1">
      <c r="A1" s="22" t="inlineStr">
        <is>
          <t>MİNİK B KIZLAR</t>
        </is>
      </c>
    </row>
    <row r="2" ht="15" customHeight="1">
      <c r="A2" s="23">
        <f>'YARIŞMA BİLGİLERİ'!C3&amp;"  —  "&amp;'YARIŞMA BİLGİLERİ'!C4&amp;"  |  "&amp;'YARIŞMA BİLGİLERİ'!C5</f>
        <v/>
      </c>
    </row>
    <row r="3" ht="22" customHeight="1">
      <c r="A3" s="24" t="n"/>
      <c r="B3" s="24" t="n"/>
      <c r="C3" s="24" t="n"/>
      <c r="D3" s="24" t="n"/>
      <c r="E3" s="24" t="n"/>
      <c r="F3" s="25" t="inlineStr">
        <is>
          <t>ATLAMA (VT)</t>
        </is>
      </c>
      <c r="G3" s="24" t="n"/>
      <c r="H3" s="24" t="n"/>
      <c r="I3" s="24" t="n"/>
      <c r="J3" s="24" t="n"/>
      <c r="K3" s="25" t="inlineStr">
        <is>
          <t>SERBEST (FX)</t>
        </is>
      </c>
      <c r="L3" s="24" t="n"/>
      <c r="M3" s="24" t="n"/>
      <c r="N3" s="24" t="n"/>
      <c r="O3" s="24" t="n"/>
      <c r="P3" s="24" t="n"/>
      <c r="Q3" s="24" t="n"/>
      <c r="R3" s="26" t="inlineStr">
        <is>
          <t>ALET SIRALARI  (Eleme Seçimi için)</t>
        </is>
      </c>
      <c r="S3" s="24" t="n"/>
    </row>
    <row r="4" ht="30" customHeight="1">
      <c r="A4" s="27" t="inlineStr">
        <is>
          <t>No</t>
        </is>
      </c>
      <c r="B4" s="27" t="inlineStr">
        <is>
          <t>Ad</t>
        </is>
      </c>
      <c r="C4" s="27" t="inlineStr">
        <is>
          <t>Soyad</t>
        </is>
      </c>
      <c r="D4" s="27" t="inlineStr">
        <is>
          <t>Okul / Kulüp</t>
        </is>
      </c>
      <c r="E4" s="27" t="inlineStr">
        <is>
          <t>Tür</t>
        </is>
      </c>
      <c r="F4" s="27" t="inlineStr">
        <is>
          <t>D</t>
        </is>
      </c>
      <c r="G4" s="27" t="inlineStr">
        <is>
          <t>E</t>
        </is>
      </c>
      <c r="H4" s="27" t="inlineStr">
        <is>
          <t>ND</t>
        </is>
      </c>
      <c r="I4" s="27" t="inlineStr">
        <is>
          <t>Final</t>
        </is>
      </c>
      <c r="J4" s="27" t="inlineStr">
        <is>
          <t>Dur</t>
        </is>
      </c>
      <c r="K4" s="27" t="inlineStr">
        <is>
          <t>D</t>
        </is>
      </c>
      <c r="L4" s="27" t="inlineStr">
        <is>
          <t>E</t>
        </is>
      </c>
      <c r="M4" s="27" t="inlineStr">
        <is>
          <t>ND</t>
        </is>
      </c>
      <c r="N4" s="27" t="inlineStr">
        <is>
          <t>Final</t>
        </is>
      </c>
      <c r="O4" s="27" t="inlineStr">
        <is>
          <t>Dur</t>
        </is>
      </c>
      <c r="P4" s="27" t="inlineStr">
        <is>
          <t>TOPLAM</t>
        </is>
      </c>
      <c r="Q4" s="27" t="inlineStr">
        <is>
          <t>SIRALAMA</t>
        </is>
      </c>
      <c r="R4" s="27" t="inlineStr">
        <is>
          <t>VT</t>
        </is>
      </c>
      <c r="S4" s="27" t="inlineStr">
        <is>
          <t>FX</t>
        </is>
      </c>
    </row>
    <row r="5" ht="13" customHeight="1">
      <c r="A5" s="28" t="inlineStr">
        <is>
          <t>Final = MAX(0, D+E−ND)  |  Dur: N=Normal · G=Gecersiz · D=Yarışmadı/DNS  |  Mavi sütun = formül (elle girme)  |  Yeşil = Toplam  |  Sarı = Sıralama</t>
        </is>
      </c>
    </row>
    <row r="6">
      <c r="A6" s="29" t="n">
        <v>1</v>
      </c>
      <c r="B6" s="30" t="n"/>
      <c r="C6" s="30" t="n"/>
      <c r="D6" s="31" t="n"/>
      <c r="E6" s="32" t="n"/>
      <c r="F6" s="33" t="n"/>
      <c r="G6" s="33" t="n"/>
      <c r="H6" s="33" t="n"/>
      <c r="I6" s="34">
        <f>IF(OR(J6="G",J6="D"),0,IF(AND(F6="",G6=""),0,MAX(0,IFERROR(F6+0,0)+IFERROR(G6+0,0)-IFERROR(H6+0,0))))</f>
        <v/>
      </c>
      <c r="J6" s="35" t="n"/>
      <c r="K6" s="33" t="n"/>
      <c r="L6" s="33" t="n"/>
      <c r="M6" s="33" t="n"/>
      <c r="N6" s="34">
        <f>IF(OR(O6="G",O6="D"),0,IF(AND(K6="",L6=""),0,MAX(0,IFERROR(K6+0,0)+IFERROR(L6+0,0)-IFERROR(M6+0,0))))</f>
        <v/>
      </c>
      <c r="O6" s="35" t="n"/>
      <c r="P6" s="36">
        <f>IF(B6="","",IF(OR(J6="G",J6="D"),0,I6)+IF(OR(O6="G",O6="D"),0,N6))</f>
        <v/>
      </c>
      <c r="Q6" s="37">
        <f>IF(OR(B6="",P6=0),"-",RANK.EQ(P6,$P$6:$P$45,0))</f>
        <v/>
      </c>
      <c r="R6" s="35">
        <f>IF(OR(B6="",I6=0),"-",IF(OR(J6="G",J6="D"),IF(J6="G","G","D"),COUNTIF($I$6:$I$45,"&gt;"&amp;I6)+1))</f>
        <v/>
      </c>
      <c r="S6" s="35">
        <f>IF(OR(B6="",N6=0),"-",IF(OR(O6="G",O6="D"),IF(O6="G","G","D"),COUNTIF($N$6:$N$45,"&gt;"&amp;N6)+1))</f>
        <v/>
      </c>
    </row>
    <row r="7">
      <c r="A7" s="38" t="n">
        <v>2</v>
      </c>
      <c r="B7" s="39" t="n"/>
      <c r="C7" s="39" t="n"/>
      <c r="D7" s="40" t="n"/>
      <c r="E7" s="41" t="n"/>
      <c r="F7" s="42" t="n"/>
      <c r="G7" s="42" t="n"/>
      <c r="H7" s="42" t="n"/>
      <c r="I7" s="34">
        <f>IF(OR(J7="G",J7="D"),0,IF(AND(F7="",G7=""),0,MAX(0,IFERROR(F7+0,0)+IFERROR(G7+0,0)-IFERROR(H7+0,0))))</f>
        <v/>
      </c>
      <c r="J7" s="43" t="n"/>
      <c r="K7" s="42" t="n"/>
      <c r="L7" s="42" t="n"/>
      <c r="M7" s="42" t="n"/>
      <c r="N7" s="34">
        <f>IF(OR(O7="G",O7="D"),0,IF(AND(K7="",L7=""),0,MAX(0,IFERROR(K7+0,0)+IFERROR(L7+0,0)-IFERROR(M7+0,0))))</f>
        <v/>
      </c>
      <c r="O7" s="43" t="n"/>
      <c r="P7" s="36">
        <f>IF(B7="","",IF(OR(J7="G",J7="D"),0,I7)+IF(OR(O7="G",O7="D"),0,N7))</f>
        <v/>
      </c>
      <c r="Q7" s="37">
        <f>IF(OR(B7="",P7=0),"-",RANK.EQ(P7,$P$6:$P$45,0))</f>
        <v/>
      </c>
      <c r="R7" s="43">
        <f>IF(OR(B7="",I7=0),"-",IF(OR(J7="G",J7="D"),IF(J7="G","G","D"),COUNTIF($I$6:$I$45,"&gt;"&amp;I7)+1))</f>
        <v/>
      </c>
      <c r="S7" s="43">
        <f>IF(OR(B7="",N7=0),"-",IF(OR(O7="G",O7="D"),IF(O7="G","G","D"),COUNTIF($N$6:$N$45,"&gt;"&amp;N7)+1))</f>
        <v/>
      </c>
    </row>
    <row r="8">
      <c r="A8" s="29" t="n">
        <v>3</v>
      </c>
      <c r="B8" s="30" t="n"/>
      <c r="C8" s="30" t="n"/>
      <c r="D8" s="31" t="n"/>
      <c r="E8" s="32" t="n"/>
      <c r="F8" s="33" t="n"/>
      <c r="G8" s="33" t="n"/>
      <c r="H8" s="33" t="n"/>
      <c r="I8" s="34">
        <f>IF(OR(J8="G",J8="D"),0,IF(AND(F8="",G8=""),0,MAX(0,IFERROR(F8+0,0)+IFERROR(G8+0,0)-IFERROR(H8+0,0))))</f>
        <v/>
      </c>
      <c r="J8" s="35" t="n"/>
      <c r="K8" s="33" t="n"/>
      <c r="L8" s="33" t="n"/>
      <c r="M8" s="33" t="n"/>
      <c r="N8" s="34">
        <f>IF(OR(O8="G",O8="D"),0,IF(AND(K8="",L8=""),0,MAX(0,IFERROR(K8+0,0)+IFERROR(L8+0,0)-IFERROR(M8+0,0))))</f>
        <v/>
      </c>
      <c r="O8" s="35" t="n"/>
      <c r="P8" s="36">
        <f>IF(B8="","",IF(OR(J8="G",J8="D"),0,I8)+IF(OR(O8="G",O8="D"),0,N8))</f>
        <v/>
      </c>
      <c r="Q8" s="37">
        <f>IF(OR(B8="",P8=0),"-",RANK.EQ(P8,$P$6:$P$45,0))</f>
        <v/>
      </c>
      <c r="R8" s="35">
        <f>IF(OR(B8="",I8=0),"-",IF(OR(J8="G",J8="D"),IF(J8="G","G","D"),COUNTIF($I$6:$I$45,"&gt;"&amp;I8)+1))</f>
        <v/>
      </c>
      <c r="S8" s="35">
        <f>IF(OR(B8="",N8=0),"-",IF(OR(O8="G",O8="D"),IF(O8="G","G","D"),COUNTIF($N$6:$N$45,"&gt;"&amp;N8)+1))</f>
        <v/>
      </c>
    </row>
    <row r="9">
      <c r="A9" s="38" t="n">
        <v>4</v>
      </c>
      <c r="B9" s="39" t="n"/>
      <c r="C9" s="39" t="n"/>
      <c r="D9" s="40" t="n"/>
      <c r="E9" s="41" t="n"/>
      <c r="F9" s="42" t="n"/>
      <c r="G9" s="42" t="n"/>
      <c r="H9" s="42" t="n"/>
      <c r="I9" s="34">
        <f>IF(OR(J9="G",J9="D"),0,IF(AND(F9="",G9=""),0,MAX(0,IFERROR(F9+0,0)+IFERROR(G9+0,0)-IFERROR(H9+0,0))))</f>
        <v/>
      </c>
      <c r="J9" s="43" t="n"/>
      <c r="K9" s="42" t="n"/>
      <c r="L9" s="42" t="n"/>
      <c r="M9" s="42" t="n"/>
      <c r="N9" s="34">
        <f>IF(OR(O9="G",O9="D"),0,IF(AND(K9="",L9=""),0,MAX(0,IFERROR(K9+0,0)+IFERROR(L9+0,0)-IFERROR(M9+0,0))))</f>
        <v/>
      </c>
      <c r="O9" s="43" t="n"/>
      <c r="P9" s="36">
        <f>IF(B9="","",IF(OR(J9="G",J9="D"),0,I9)+IF(OR(O9="G",O9="D"),0,N9))</f>
        <v/>
      </c>
      <c r="Q9" s="37">
        <f>IF(OR(B9="",P9=0),"-",RANK.EQ(P9,$P$6:$P$45,0))</f>
        <v/>
      </c>
      <c r="R9" s="43">
        <f>IF(OR(B9="",I9=0),"-",IF(OR(J9="G",J9="D"),IF(J9="G","G","D"),COUNTIF($I$6:$I$45,"&gt;"&amp;I9)+1))</f>
        <v/>
      </c>
      <c r="S9" s="43">
        <f>IF(OR(B9="",N9=0),"-",IF(OR(O9="G",O9="D"),IF(O9="G","G","D"),COUNTIF($N$6:$N$45,"&gt;"&amp;N9)+1))</f>
        <v/>
      </c>
    </row>
    <row r="10">
      <c r="A10" s="29" t="n">
        <v>5</v>
      </c>
      <c r="B10" s="30" t="n"/>
      <c r="C10" s="30" t="n"/>
      <c r="D10" s="31" t="n"/>
      <c r="E10" s="32" t="n"/>
      <c r="F10" s="33" t="n"/>
      <c r="G10" s="33" t="n"/>
      <c r="H10" s="33" t="n"/>
      <c r="I10" s="34">
        <f>IF(OR(J10="G",J10="D"),0,IF(AND(F10="",G10=""),0,MAX(0,IFERROR(F10+0,0)+IFERROR(G10+0,0)-IFERROR(H10+0,0))))</f>
        <v/>
      </c>
      <c r="J10" s="35" t="n"/>
      <c r="K10" s="33" t="n"/>
      <c r="L10" s="33" t="n"/>
      <c r="M10" s="33" t="n"/>
      <c r="N10" s="34">
        <f>IF(OR(O10="G",O10="D"),0,IF(AND(K10="",L10=""),0,MAX(0,IFERROR(K10+0,0)+IFERROR(L10+0,0)-IFERROR(M10+0,0))))</f>
        <v/>
      </c>
      <c r="O10" s="35" t="n"/>
      <c r="P10" s="36">
        <f>IF(B10="","",IF(OR(J10="G",J10="D"),0,I10)+IF(OR(O10="G",O10="D"),0,N10))</f>
        <v/>
      </c>
      <c r="Q10" s="37">
        <f>IF(OR(B10="",P10=0),"-",RANK.EQ(P10,$P$6:$P$45,0))</f>
        <v/>
      </c>
      <c r="R10" s="35">
        <f>IF(OR(B10="",I10=0),"-",IF(OR(J10="G",J10="D"),IF(J10="G","G","D"),COUNTIF($I$6:$I$45,"&gt;"&amp;I10)+1))</f>
        <v/>
      </c>
      <c r="S10" s="35">
        <f>IF(OR(B10="",N10=0),"-",IF(OR(O10="G",O10="D"),IF(O10="G","G","D"),COUNTIF($N$6:$N$45,"&gt;"&amp;N10)+1))</f>
        <v/>
      </c>
    </row>
    <row r="11">
      <c r="A11" s="38" t="n">
        <v>6</v>
      </c>
      <c r="B11" s="39" t="n"/>
      <c r="C11" s="39" t="n"/>
      <c r="D11" s="40" t="n"/>
      <c r="E11" s="41" t="n"/>
      <c r="F11" s="42" t="n"/>
      <c r="G11" s="42" t="n"/>
      <c r="H11" s="42" t="n"/>
      <c r="I11" s="34">
        <f>IF(OR(J11="G",J11="D"),0,IF(AND(F11="",G11=""),0,MAX(0,IFERROR(F11+0,0)+IFERROR(G11+0,0)-IFERROR(H11+0,0))))</f>
        <v/>
      </c>
      <c r="J11" s="43" t="n"/>
      <c r="K11" s="42" t="n"/>
      <c r="L11" s="42" t="n"/>
      <c r="M11" s="42" t="n"/>
      <c r="N11" s="34">
        <f>IF(OR(O11="G",O11="D"),0,IF(AND(K11="",L11=""),0,MAX(0,IFERROR(K11+0,0)+IFERROR(L11+0,0)-IFERROR(M11+0,0))))</f>
        <v/>
      </c>
      <c r="O11" s="43" t="n"/>
      <c r="P11" s="36">
        <f>IF(B11="","",IF(OR(J11="G",J11="D"),0,I11)+IF(OR(O11="G",O11="D"),0,N11))</f>
        <v/>
      </c>
      <c r="Q11" s="37">
        <f>IF(OR(B11="",P11=0),"-",RANK.EQ(P11,$P$6:$P$45,0))</f>
        <v/>
      </c>
      <c r="R11" s="43">
        <f>IF(OR(B11="",I11=0),"-",IF(OR(J11="G",J11="D"),IF(J11="G","G","D"),COUNTIF($I$6:$I$45,"&gt;"&amp;I11)+1))</f>
        <v/>
      </c>
      <c r="S11" s="43">
        <f>IF(OR(B11="",N11=0),"-",IF(OR(O11="G",O11="D"),IF(O11="G","G","D"),COUNTIF($N$6:$N$45,"&gt;"&amp;N11)+1))</f>
        <v/>
      </c>
    </row>
    <row r="12">
      <c r="A12" s="29" t="n">
        <v>7</v>
      </c>
      <c r="B12" s="30" t="n"/>
      <c r="C12" s="30" t="n"/>
      <c r="D12" s="31" t="n"/>
      <c r="E12" s="32" t="n"/>
      <c r="F12" s="33" t="n"/>
      <c r="G12" s="33" t="n"/>
      <c r="H12" s="33" t="n"/>
      <c r="I12" s="34">
        <f>IF(OR(J12="G",J12="D"),0,IF(AND(F12="",G12=""),0,MAX(0,IFERROR(F12+0,0)+IFERROR(G12+0,0)-IFERROR(H12+0,0))))</f>
        <v/>
      </c>
      <c r="J12" s="35" t="n"/>
      <c r="K12" s="33" t="n"/>
      <c r="L12" s="33" t="n"/>
      <c r="M12" s="33" t="n"/>
      <c r="N12" s="34">
        <f>IF(OR(O12="G",O12="D"),0,IF(AND(K12="",L12=""),0,MAX(0,IFERROR(K12+0,0)+IFERROR(L12+0,0)-IFERROR(M12+0,0))))</f>
        <v/>
      </c>
      <c r="O12" s="35" t="n"/>
      <c r="P12" s="36">
        <f>IF(B12="","",IF(OR(J12="G",J12="D"),0,I12)+IF(OR(O12="G",O12="D"),0,N12))</f>
        <v/>
      </c>
      <c r="Q12" s="37">
        <f>IF(OR(B12="",P12=0),"-",RANK.EQ(P12,$P$6:$P$45,0))</f>
        <v/>
      </c>
      <c r="R12" s="35">
        <f>IF(OR(B12="",I12=0),"-",IF(OR(J12="G",J12="D"),IF(J12="G","G","D"),COUNTIF($I$6:$I$45,"&gt;"&amp;I12)+1))</f>
        <v/>
      </c>
      <c r="S12" s="35">
        <f>IF(OR(B12="",N12=0),"-",IF(OR(O12="G",O12="D"),IF(O12="G","G","D"),COUNTIF($N$6:$N$45,"&gt;"&amp;N12)+1))</f>
        <v/>
      </c>
    </row>
    <row r="13">
      <c r="A13" s="38" t="n">
        <v>8</v>
      </c>
      <c r="B13" s="39" t="n"/>
      <c r="C13" s="39" t="n"/>
      <c r="D13" s="40" t="n"/>
      <c r="E13" s="41" t="n"/>
      <c r="F13" s="42" t="n"/>
      <c r="G13" s="42" t="n"/>
      <c r="H13" s="42" t="n"/>
      <c r="I13" s="34">
        <f>IF(OR(J13="G",J13="D"),0,IF(AND(F13="",G13=""),0,MAX(0,IFERROR(F13+0,0)+IFERROR(G13+0,0)-IFERROR(H13+0,0))))</f>
        <v/>
      </c>
      <c r="J13" s="43" t="n"/>
      <c r="K13" s="42" t="n"/>
      <c r="L13" s="42" t="n"/>
      <c r="M13" s="42" t="n"/>
      <c r="N13" s="34">
        <f>IF(OR(O13="G",O13="D"),0,IF(AND(K13="",L13=""),0,MAX(0,IFERROR(K13+0,0)+IFERROR(L13+0,0)-IFERROR(M13+0,0))))</f>
        <v/>
      </c>
      <c r="O13" s="43" t="n"/>
      <c r="P13" s="36">
        <f>IF(B13="","",IF(OR(J13="G",J13="D"),0,I13)+IF(OR(O13="G",O13="D"),0,N13))</f>
        <v/>
      </c>
      <c r="Q13" s="37">
        <f>IF(OR(B13="",P13=0),"-",RANK.EQ(P13,$P$6:$P$45,0))</f>
        <v/>
      </c>
      <c r="R13" s="43">
        <f>IF(OR(B13="",I13=0),"-",IF(OR(J13="G",J13="D"),IF(J13="G","G","D"),COUNTIF($I$6:$I$45,"&gt;"&amp;I13)+1))</f>
        <v/>
      </c>
      <c r="S13" s="43">
        <f>IF(OR(B13="",N13=0),"-",IF(OR(O13="G",O13="D"),IF(O13="G","G","D"),COUNTIF($N$6:$N$45,"&gt;"&amp;N13)+1))</f>
        <v/>
      </c>
    </row>
    <row r="14">
      <c r="A14" s="29" t="n">
        <v>9</v>
      </c>
      <c r="B14" s="30" t="n"/>
      <c r="C14" s="30" t="n"/>
      <c r="D14" s="31" t="n"/>
      <c r="E14" s="32" t="n"/>
      <c r="F14" s="33" t="n"/>
      <c r="G14" s="33" t="n"/>
      <c r="H14" s="33" t="n"/>
      <c r="I14" s="34">
        <f>IF(OR(J14="G",J14="D"),0,IF(AND(F14="",G14=""),0,MAX(0,IFERROR(F14+0,0)+IFERROR(G14+0,0)-IFERROR(H14+0,0))))</f>
        <v/>
      </c>
      <c r="J14" s="35" t="n"/>
      <c r="K14" s="33" t="n"/>
      <c r="L14" s="33" t="n"/>
      <c r="M14" s="33" t="n"/>
      <c r="N14" s="34">
        <f>IF(OR(O14="G",O14="D"),0,IF(AND(K14="",L14=""),0,MAX(0,IFERROR(K14+0,0)+IFERROR(L14+0,0)-IFERROR(M14+0,0))))</f>
        <v/>
      </c>
      <c r="O14" s="35" t="n"/>
      <c r="P14" s="36">
        <f>IF(B14="","",IF(OR(J14="G",J14="D"),0,I14)+IF(OR(O14="G",O14="D"),0,N14))</f>
        <v/>
      </c>
      <c r="Q14" s="37">
        <f>IF(OR(B14="",P14=0),"-",RANK.EQ(P14,$P$6:$P$45,0))</f>
        <v/>
      </c>
      <c r="R14" s="35">
        <f>IF(OR(B14="",I14=0),"-",IF(OR(J14="G",J14="D"),IF(J14="G","G","D"),COUNTIF($I$6:$I$45,"&gt;"&amp;I14)+1))</f>
        <v/>
      </c>
      <c r="S14" s="35">
        <f>IF(OR(B14="",N14=0),"-",IF(OR(O14="G",O14="D"),IF(O14="G","G","D"),COUNTIF($N$6:$N$45,"&gt;"&amp;N14)+1))</f>
        <v/>
      </c>
    </row>
    <row r="15">
      <c r="A15" s="38" t="n">
        <v>10</v>
      </c>
      <c r="B15" s="39" t="n"/>
      <c r="C15" s="39" t="n"/>
      <c r="D15" s="40" t="n"/>
      <c r="E15" s="41" t="n"/>
      <c r="F15" s="42" t="n"/>
      <c r="G15" s="42" t="n"/>
      <c r="H15" s="42" t="n"/>
      <c r="I15" s="34">
        <f>IF(OR(J15="G",J15="D"),0,IF(AND(F15="",G15=""),0,MAX(0,IFERROR(F15+0,0)+IFERROR(G15+0,0)-IFERROR(H15+0,0))))</f>
        <v/>
      </c>
      <c r="J15" s="43" t="n"/>
      <c r="K15" s="42" t="n"/>
      <c r="L15" s="42" t="n"/>
      <c r="M15" s="42" t="n"/>
      <c r="N15" s="34">
        <f>IF(OR(O15="G",O15="D"),0,IF(AND(K15="",L15=""),0,MAX(0,IFERROR(K15+0,0)+IFERROR(L15+0,0)-IFERROR(M15+0,0))))</f>
        <v/>
      </c>
      <c r="O15" s="43" t="n"/>
      <c r="P15" s="36">
        <f>IF(B15="","",IF(OR(J15="G",J15="D"),0,I15)+IF(OR(O15="G",O15="D"),0,N15))</f>
        <v/>
      </c>
      <c r="Q15" s="37">
        <f>IF(OR(B15="",P15=0),"-",RANK.EQ(P15,$P$6:$P$45,0))</f>
        <v/>
      </c>
      <c r="R15" s="43">
        <f>IF(OR(B15="",I15=0),"-",IF(OR(J15="G",J15="D"),IF(J15="G","G","D"),COUNTIF($I$6:$I$45,"&gt;"&amp;I15)+1))</f>
        <v/>
      </c>
      <c r="S15" s="43">
        <f>IF(OR(B15="",N15=0),"-",IF(OR(O15="G",O15="D"),IF(O15="G","G","D"),COUNTIF($N$6:$N$45,"&gt;"&amp;N15)+1))</f>
        <v/>
      </c>
    </row>
    <row r="16">
      <c r="A16" s="29" t="n">
        <v>11</v>
      </c>
      <c r="B16" s="30" t="n"/>
      <c r="C16" s="30" t="n"/>
      <c r="D16" s="31" t="n"/>
      <c r="E16" s="32" t="n"/>
      <c r="F16" s="33" t="n"/>
      <c r="G16" s="33" t="n"/>
      <c r="H16" s="33" t="n"/>
      <c r="I16" s="34">
        <f>IF(OR(J16="G",J16="D"),0,IF(AND(F16="",G16=""),0,MAX(0,IFERROR(F16+0,0)+IFERROR(G16+0,0)-IFERROR(H16+0,0))))</f>
        <v/>
      </c>
      <c r="J16" s="35" t="n"/>
      <c r="K16" s="33" t="n"/>
      <c r="L16" s="33" t="n"/>
      <c r="M16" s="33" t="n"/>
      <c r="N16" s="34">
        <f>IF(OR(O16="G",O16="D"),0,IF(AND(K16="",L16=""),0,MAX(0,IFERROR(K16+0,0)+IFERROR(L16+0,0)-IFERROR(M16+0,0))))</f>
        <v/>
      </c>
      <c r="O16" s="35" t="n"/>
      <c r="P16" s="36">
        <f>IF(B16="","",IF(OR(J16="G",J16="D"),0,I16)+IF(OR(O16="G",O16="D"),0,N16))</f>
        <v/>
      </c>
      <c r="Q16" s="37">
        <f>IF(OR(B16="",P16=0),"-",RANK.EQ(P16,$P$6:$P$45,0))</f>
        <v/>
      </c>
      <c r="R16" s="35">
        <f>IF(OR(B16="",I16=0),"-",IF(OR(J16="G",J16="D"),IF(J16="G","G","D"),COUNTIF($I$6:$I$45,"&gt;"&amp;I16)+1))</f>
        <v/>
      </c>
      <c r="S16" s="35">
        <f>IF(OR(B16="",N16=0),"-",IF(OR(O16="G",O16="D"),IF(O16="G","G","D"),COUNTIF($N$6:$N$45,"&gt;"&amp;N16)+1))</f>
        <v/>
      </c>
    </row>
    <row r="17">
      <c r="A17" s="38" t="n">
        <v>12</v>
      </c>
      <c r="B17" s="39" t="n"/>
      <c r="C17" s="39" t="n"/>
      <c r="D17" s="40" t="n"/>
      <c r="E17" s="41" t="n"/>
      <c r="F17" s="42" t="n"/>
      <c r="G17" s="42" t="n"/>
      <c r="H17" s="42" t="n"/>
      <c r="I17" s="34">
        <f>IF(OR(J17="G",J17="D"),0,IF(AND(F17="",G17=""),0,MAX(0,IFERROR(F17+0,0)+IFERROR(G17+0,0)-IFERROR(H17+0,0))))</f>
        <v/>
      </c>
      <c r="J17" s="43" t="n"/>
      <c r="K17" s="42" t="n"/>
      <c r="L17" s="42" t="n"/>
      <c r="M17" s="42" t="n"/>
      <c r="N17" s="34">
        <f>IF(OR(O17="G",O17="D"),0,IF(AND(K17="",L17=""),0,MAX(0,IFERROR(K17+0,0)+IFERROR(L17+0,0)-IFERROR(M17+0,0))))</f>
        <v/>
      </c>
      <c r="O17" s="43" t="n"/>
      <c r="P17" s="36">
        <f>IF(B17="","",IF(OR(J17="G",J17="D"),0,I17)+IF(OR(O17="G",O17="D"),0,N17))</f>
        <v/>
      </c>
      <c r="Q17" s="37">
        <f>IF(OR(B17="",P17=0),"-",RANK.EQ(P17,$P$6:$P$45,0))</f>
        <v/>
      </c>
      <c r="R17" s="43">
        <f>IF(OR(B17="",I17=0),"-",IF(OR(J17="G",J17="D"),IF(J17="G","G","D"),COUNTIF($I$6:$I$45,"&gt;"&amp;I17)+1))</f>
        <v/>
      </c>
      <c r="S17" s="43">
        <f>IF(OR(B17="",N17=0),"-",IF(OR(O17="G",O17="D"),IF(O17="G","G","D"),COUNTIF($N$6:$N$45,"&gt;"&amp;N17)+1))</f>
        <v/>
      </c>
    </row>
    <row r="18">
      <c r="A18" s="29" t="n">
        <v>13</v>
      </c>
      <c r="B18" s="30" t="n"/>
      <c r="C18" s="30" t="n"/>
      <c r="D18" s="31" t="n"/>
      <c r="E18" s="32" t="n"/>
      <c r="F18" s="33" t="n"/>
      <c r="G18" s="33" t="n"/>
      <c r="H18" s="33" t="n"/>
      <c r="I18" s="34">
        <f>IF(OR(J18="G",J18="D"),0,IF(AND(F18="",G18=""),0,MAX(0,IFERROR(F18+0,0)+IFERROR(G18+0,0)-IFERROR(H18+0,0))))</f>
        <v/>
      </c>
      <c r="J18" s="35" t="n"/>
      <c r="K18" s="33" t="n"/>
      <c r="L18" s="33" t="n"/>
      <c r="M18" s="33" t="n"/>
      <c r="N18" s="34">
        <f>IF(OR(O18="G",O18="D"),0,IF(AND(K18="",L18=""),0,MAX(0,IFERROR(K18+0,0)+IFERROR(L18+0,0)-IFERROR(M18+0,0))))</f>
        <v/>
      </c>
      <c r="O18" s="35" t="n"/>
      <c r="P18" s="36">
        <f>IF(B18="","",IF(OR(J18="G",J18="D"),0,I18)+IF(OR(O18="G",O18="D"),0,N18))</f>
        <v/>
      </c>
      <c r="Q18" s="37">
        <f>IF(OR(B18="",P18=0),"-",RANK.EQ(P18,$P$6:$P$45,0))</f>
        <v/>
      </c>
      <c r="R18" s="35">
        <f>IF(OR(B18="",I18=0),"-",IF(OR(J18="G",J18="D"),IF(J18="G","G","D"),COUNTIF($I$6:$I$45,"&gt;"&amp;I18)+1))</f>
        <v/>
      </c>
      <c r="S18" s="35">
        <f>IF(OR(B18="",N18=0),"-",IF(OR(O18="G",O18="D"),IF(O18="G","G","D"),COUNTIF($N$6:$N$45,"&gt;"&amp;N18)+1))</f>
        <v/>
      </c>
    </row>
    <row r="19">
      <c r="A19" s="38" t="n">
        <v>14</v>
      </c>
      <c r="B19" s="39" t="n"/>
      <c r="C19" s="39" t="n"/>
      <c r="D19" s="40" t="n"/>
      <c r="E19" s="41" t="n"/>
      <c r="F19" s="42" t="n"/>
      <c r="G19" s="42" t="n"/>
      <c r="H19" s="42" t="n"/>
      <c r="I19" s="34">
        <f>IF(OR(J19="G",J19="D"),0,IF(AND(F19="",G19=""),0,MAX(0,IFERROR(F19+0,0)+IFERROR(G19+0,0)-IFERROR(H19+0,0))))</f>
        <v/>
      </c>
      <c r="J19" s="43" t="n"/>
      <c r="K19" s="42" t="n"/>
      <c r="L19" s="42" t="n"/>
      <c r="M19" s="42" t="n"/>
      <c r="N19" s="34">
        <f>IF(OR(O19="G",O19="D"),0,IF(AND(K19="",L19=""),0,MAX(0,IFERROR(K19+0,0)+IFERROR(L19+0,0)-IFERROR(M19+0,0))))</f>
        <v/>
      </c>
      <c r="O19" s="43" t="n"/>
      <c r="P19" s="36">
        <f>IF(B19="","",IF(OR(J19="G",J19="D"),0,I19)+IF(OR(O19="G",O19="D"),0,N19))</f>
        <v/>
      </c>
      <c r="Q19" s="37">
        <f>IF(OR(B19="",P19=0),"-",RANK.EQ(P19,$P$6:$P$45,0))</f>
        <v/>
      </c>
      <c r="R19" s="43">
        <f>IF(OR(B19="",I19=0),"-",IF(OR(J19="G",J19="D"),IF(J19="G","G","D"),COUNTIF($I$6:$I$45,"&gt;"&amp;I19)+1))</f>
        <v/>
      </c>
      <c r="S19" s="43">
        <f>IF(OR(B19="",N19=0),"-",IF(OR(O19="G",O19="D"),IF(O19="G","G","D"),COUNTIF($N$6:$N$45,"&gt;"&amp;N19)+1))</f>
        <v/>
      </c>
    </row>
    <row r="20">
      <c r="A20" s="29" t="n">
        <v>15</v>
      </c>
      <c r="B20" s="30" t="n"/>
      <c r="C20" s="30" t="n"/>
      <c r="D20" s="31" t="n"/>
      <c r="E20" s="32" t="n"/>
      <c r="F20" s="33" t="n"/>
      <c r="G20" s="33" t="n"/>
      <c r="H20" s="33" t="n"/>
      <c r="I20" s="34">
        <f>IF(OR(J20="G",J20="D"),0,IF(AND(F20="",G20=""),0,MAX(0,IFERROR(F20+0,0)+IFERROR(G20+0,0)-IFERROR(H20+0,0))))</f>
        <v/>
      </c>
      <c r="J20" s="35" t="n"/>
      <c r="K20" s="33" t="n"/>
      <c r="L20" s="33" t="n"/>
      <c r="M20" s="33" t="n"/>
      <c r="N20" s="34">
        <f>IF(OR(O20="G",O20="D"),0,IF(AND(K20="",L20=""),0,MAX(0,IFERROR(K20+0,0)+IFERROR(L20+0,0)-IFERROR(M20+0,0))))</f>
        <v/>
      </c>
      <c r="O20" s="35" t="n"/>
      <c r="P20" s="36">
        <f>IF(B20="","",IF(OR(J20="G",J20="D"),0,I20)+IF(OR(O20="G",O20="D"),0,N20))</f>
        <v/>
      </c>
      <c r="Q20" s="37">
        <f>IF(OR(B20="",P20=0),"-",RANK.EQ(P20,$P$6:$P$45,0))</f>
        <v/>
      </c>
      <c r="R20" s="35">
        <f>IF(OR(B20="",I20=0),"-",IF(OR(J20="G",J20="D"),IF(J20="G","G","D"),COUNTIF($I$6:$I$45,"&gt;"&amp;I20)+1))</f>
        <v/>
      </c>
      <c r="S20" s="35">
        <f>IF(OR(B20="",N20=0),"-",IF(OR(O20="G",O20="D"),IF(O20="G","G","D"),COUNTIF($N$6:$N$45,"&gt;"&amp;N20)+1))</f>
        <v/>
      </c>
    </row>
    <row r="21">
      <c r="A21" s="38" t="n">
        <v>16</v>
      </c>
      <c r="B21" s="39" t="n"/>
      <c r="C21" s="39" t="n"/>
      <c r="D21" s="40" t="n"/>
      <c r="E21" s="41" t="n"/>
      <c r="F21" s="42" t="n"/>
      <c r="G21" s="42" t="n"/>
      <c r="H21" s="42" t="n"/>
      <c r="I21" s="34">
        <f>IF(OR(J21="G",J21="D"),0,IF(AND(F21="",G21=""),0,MAX(0,IFERROR(F21+0,0)+IFERROR(G21+0,0)-IFERROR(H21+0,0))))</f>
        <v/>
      </c>
      <c r="J21" s="43" t="n"/>
      <c r="K21" s="42" t="n"/>
      <c r="L21" s="42" t="n"/>
      <c r="M21" s="42" t="n"/>
      <c r="N21" s="34">
        <f>IF(OR(O21="G",O21="D"),0,IF(AND(K21="",L21=""),0,MAX(0,IFERROR(K21+0,0)+IFERROR(L21+0,0)-IFERROR(M21+0,0))))</f>
        <v/>
      </c>
      <c r="O21" s="43" t="n"/>
      <c r="P21" s="36">
        <f>IF(B21="","",IF(OR(J21="G",J21="D"),0,I21)+IF(OR(O21="G",O21="D"),0,N21))</f>
        <v/>
      </c>
      <c r="Q21" s="37">
        <f>IF(OR(B21="",P21=0),"-",RANK.EQ(P21,$P$6:$P$45,0))</f>
        <v/>
      </c>
      <c r="R21" s="43">
        <f>IF(OR(B21="",I21=0),"-",IF(OR(J21="G",J21="D"),IF(J21="G","G","D"),COUNTIF($I$6:$I$45,"&gt;"&amp;I21)+1))</f>
        <v/>
      </c>
      <c r="S21" s="43">
        <f>IF(OR(B21="",N21=0),"-",IF(OR(O21="G",O21="D"),IF(O21="G","G","D"),COUNTIF($N$6:$N$45,"&gt;"&amp;N21)+1))</f>
        <v/>
      </c>
    </row>
    <row r="22">
      <c r="A22" s="29" t="n">
        <v>17</v>
      </c>
      <c r="B22" s="30" t="n"/>
      <c r="C22" s="30" t="n"/>
      <c r="D22" s="31" t="n"/>
      <c r="E22" s="32" t="n"/>
      <c r="F22" s="33" t="n"/>
      <c r="G22" s="33" t="n"/>
      <c r="H22" s="33" t="n"/>
      <c r="I22" s="34">
        <f>IF(OR(J22="G",J22="D"),0,IF(AND(F22="",G22=""),0,MAX(0,IFERROR(F22+0,0)+IFERROR(G22+0,0)-IFERROR(H22+0,0))))</f>
        <v/>
      </c>
      <c r="J22" s="35" t="n"/>
      <c r="K22" s="33" t="n"/>
      <c r="L22" s="33" t="n"/>
      <c r="M22" s="33" t="n"/>
      <c r="N22" s="34">
        <f>IF(OR(O22="G",O22="D"),0,IF(AND(K22="",L22=""),0,MAX(0,IFERROR(K22+0,0)+IFERROR(L22+0,0)-IFERROR(M22+0,0))))</f>
        <v/>
      </c>
      <c r="O22" s="35" t="n"/>
      <c r="P22" s="36">
        <f>IF(B22="","",IF(OR(J22="G",J22="D"),0,I22)+IF(OR(O22="G",O22="D"),0,N22))</f>
        <v/>
      </c>
      <c r="Q22" s="37">
        <f>IF(OR(B22="",P22=0),"-",RANK.EQ(P22,$P$6:$P$45,0))</f>
        <v/>
      </c>
      <c r="R22" s="35">
        <f>IF(OR(B22="",I22=0),"-",IF(OR(J22="G",J22="D"),IF(J22="G","G","D"),COUNTIF($I$6:$I$45,"&gt;"&amp;I22)+1))</f>
        <v/>
      </c>
      <c r="S22" s="35">
        <f>IF(OR(B22="",N22=0),"-",IF(OR(O22="G",O22="D"),IF(O22="G","G","D"),COUNTIF($N$6:$N$45,"&gt;"&amp;N22)+1))</f>
        <v/>
      </c>
    </row>
    <row r="23">
      <c r="A23" s="38" t="n">
        <v>18</v>
      </c>
      <c r="B23" s="39" t="n"/>
      <c r="C23" s="39" t="n"/>
      <c r="D23" s="40" t="n"/>
      <c r="E23" s="41" t="n"/>
      <c r="F23" s="42" t="n"/>
      <c r="G23" s="42" t="n"/>
      <c r="H23" s="42" t="n"/>
      <c r="I23" s="34">
        <f>IF(OR(J23="G",J23="D"),0,IF(AND(F23="",G23=""),0,MAX(0,IFERROR(F23+0,0)+IFERROR(G23+0,0)-IFERROR(H23+0,0))))</f>
        <v/>
      </c>
      <c r="J23" s="43" t="n"/>
      <c r="K23" s="42" t="n"/>
      <c r="L23" s="42" t="n"/>
      <c r="M23" s="42" t="n"/>
      <c r="N23" s="34">
        <f>IF(OR(O23="G",O23="D"),0,IF(AND(K23="",L23=""),0,MAX(0,IFERROR(K23+0,0)+IFERROR(L23+0,0)-IFERROR(M23+0,0))))</f>
        <v/>
      </c>
      <c r="O23" s="43" t="n"/>
      <c r="P23" s="36">
        <f>IF(B23="","",IF(OR(J23="G",J23="D"),0,I23)+IF(OR(O23="G",O23="D"),0,N23))</f>
        <v/>
      </c>
      <c r="Q23" s="37">
        <f>IF(OR(B23="",P23=0),"-",RANK.EQ(P23,$P$6:$P$45,0))</f>
        <v/>
      </c>
      <c r="R23" s="43">
        <f>IF(OR(B23="",I23=0),"-",IF(OR(J23="G",J23="D"),IF(J23="G","G","D"),COUNTIF($I$6:$I$45,"&gt;"&amp;I23)+1))</f>
        <v/>
      </c>
      <c r="S23" s="43">
        <f>IF(OR(B23="",N23=0),"-",IF(OR(O23="G",O23="D"),IF(O23="G","G","D"),COUNTIF($N$6:$N$45,"&gt;"&amp;N23)+1))</f>
        <v/>
      </c>
    </row>
    <row r="24">
      <c r="A24" s="29" t="n">
        <v>19</v>
      </c>
      <c r="B24" s="30" t="n"/>
      <c r="C24" s="30" t="n"/>
      <c r="D24" s="31" t="n"/>
      <c r="E24" s="32" t="n"/>
      <c r="F24" s="33" t="n"/>
      <c r="G24" s="33" t="n"/>
      <c r="H24" s="33" t="n"/>
      <c r="I24" s="34">
        <f>IF(OR(J24="G",J24="D"),0,IF(AND(F24="",G24=""),0,MAX(0,IFERROR(F24+0,0)+IFERROR(G24+0,0)-IFERROR(H24+0,0))))</f>
        <v/>
      </c>
      <c r="J24" s="35" t="n"/>
      <c r="K24" s="33" t="n"/>
      <c r="L24" s="33" t="n"/>
      <c r="M24" s="33" t="n"/>
      <c r="N24" s="34">
        <f>IF(OR(O24="G",O24="D"),0,IF(AND(K24="",L24=""),0,MAX(0,IFERROR(K24+0,0)+IFERROR(L24+0,0)-IFERROR(M24+0,0))))</f>
        <v/>
      </c>
      <c r="O24" s="35" t="n"/>
      <c r="P24" s="36">
        <f>IF(B24="","",IF(OR(J24="G",J24="D"),0,I24)+IF(OR(O24="G",O24="D"),0,N24))</f>
        <v/>
      </c>
      <c r="Q24" s="37">
        <f>IF(OR(B24="",P24=0),"-",RANK.EQ(P24,$P$6:$P$45,0))</f>
        <v/>
      </c>
      <c r="R24" s="35">
        <f>IF(OR(B24="",I24=0),"-",IF(OR(J24="G",J24="D"),IF(J24="G","G","D"),COUNTIF($I$6:$I$45,"&gt;"&amp;I24)+1))</f>
        <v/>
      </c>
      <c r="S24" s="35">
        <f>IF(OR(B24="",N24=0),"-",IF(OR(O24="G",O24="D"),IF(O24="G","G","D"),COUNTIF($N$6:$N$45,"&gt;"&amp;N24)+1))</f>
        <v/>
      </c>
    </row>
    <row r="25">
      <c r="A25" s="38" t="n">
        <v>20</v>
      </c>
      <c r="B25" s="39" t="n"/>
      <c r="C25" s="39" t="n"/>
      <c r="D25" s="40" t="n"/>
      <c r="E25" s="41" t="n"/>
      <c r="F25" s="42" t="n"/>
      <c r="G25" s="42" t="n"/>
      <c r="H25" s="42" t="n"/>
      <c r="I25" s="34">
        <f>IF(OR(J25="G",J25="D"),0,IF(AND(F25="",G25=""),0,MAX(0,IFERROR(F25+0,0)+IFERROR(G25+0,0)-IFERROR(H25+0,0))))</f>
        <v/>
      </c>
      <c r="J25" s="43" t="n"/>
      <c r="K25" s="42" t="n"/>
      <c r="L25" s="42" t="n"/>
      <c r="M25" s="42" t="n"/>
      <c r="N25" s="34">
        <f>IF(OR(O25="G",O25="D"),0,IF(AND(K25="",L25=""),0,MAX(0,IFERROR(K25+0,0)+IFERROR(L25+0,0)-IFERROR(M25+0,0))))</f>
        <v/>
      </c>
      <c r="O25" s="43" t="n"/>
      <c r="P25" s="36">
        <f>IF(B25="","",IF(OR(J25="G",J25="D"),0,I25)+IF(OR(O25="G",O25="D"),0,N25))</f>
        <v/>
      </c>
      <c r="Q25" s="37">
        <f>IF(OR(B25="",P25=0),"-",RANK.EQ(P25,$P$6:$P$45,0))</f>
        <v/>
      </c>
      <c r="R25" s="43">
        <f>IF(OR(B25="",I25=0),"-",IF(OR(J25="G",J25="D"),IF(J25="G","G","D"),COUNTIF($I$6:$I$45,"&gt;"&amp;I25)+1))</f>
        <v/>
      </c>
      <c r="S25" s="43">
        <f>IF(OR(B25="",N25=0),"-",IF(OR(O25="G",O25="D"),IF(O25="G","G","D"),COUNTIF($N$6:$N$45,"&gt;"&amp;N25)+1))</f>
        <v/>
      </c>
    </row>
    <row r="26">
      <c r="A26" s="29" t="n">
        <v>21</v>
      </c>
      <c r="B26" s="30" t="n"/>
      <c r="C26" s="30" t="n"/>
      <c r="D26" s="31" t="n"/>
      <c r="E26" s="32" t="n"/>
      <c r="F26" s="33" t="n"/>
      <c r="G26" s="33" t="n"/>
      <c r="H26" s="33" t="n"/>
      <c r="I26" s="34">
        <f>IF(OR(J26="G",J26="D"),0,IF(AND(F26="",G26=""),0,MAX(0,IFERROR(F26+0,0)+IFERROR(G26+0,0)-IFERROR(H26+0,0))))</f>
        <v/>
      </c>
      <c r="J26" s="35" t="n"/>
      <c r="K26" s="33" t="n"/>
      <c r="L26" s="33" t="n"/>
      <c r="M26" s="33" t="n"/>
      <c r="N26" s="34">
        <f>IF(OR(O26="G",O26="D"),0,IF(AND(K26="",L26=""),0,MAX(0,IFERROR(K26+0,0)+IFERROR(L26+0,0)-IFERROR(M26+0,0))))</f>
        <v/>
      </c>
      <c r="O26" s="35" t="n"/>
      <c r="P26" s="36">
        <f>IF(B26="","",IF(OR(J26="G",J26="D"),0,I26)+IF(OR(O26="G",O26="D"),0,N26))</f>
        <v/>
      </c>
      <c r="Q26" s="37">
        <f>IF(OR(B26="",P26=0),"-",RANK.EQ(P26,$P$6:$P$45,0))</f>
        <v/>
      </c>
      <c r="R26" s="35">
        <f>IF(OR(B26="",I26=0),"-",IF(OR(J26="G",J26="D"),IF(J26="G","G","D"),COUNTIF($I$6:$I$45,"&gt;"&amp;I26)+1))</f>
        <v/>
      </c>
      <c r="S26" s="35">
        <f>IF(OR(B26="",N26=0),"-",IF(OR(O26="G",O26="D"),IF(O26="G","G","D"),COUNTIF($N$6:$N$45,"&gt;"&amp;N26)+1))</f>
        <v/>
      </c>
    </row>
    <row r="27">
      <c r="A27" s="38" t="n">
        <v>22</v>
      </c>
      <c r="B27" s="39" t="n"/>
      <c r="C27" s="39" t="n"/>
      <c r="D27" s="40" t="n"/>
      <c r="E27" s="41" t="n"/>
      <c r="F27" s="42" t="n"/>
      <c r="G27" s="42" t="n"/>
      <c r="H27" s="42" t="n"/>
      <c r="I27" s="34">
        <f>IF(OR(J27="G",J27="D"),0,IF(AND(F27="",G27=""),0,MAX(0,IFERROR(F27+0,0)+IFERROR(G27+0,0)-IFERROR(H27+0,0))))</f>
        <v/>
      </c>
      <c r="J27" s="43" t="n"/>
      <c r="K27" s="42" t="n"/>
      <c r="L27" s="42" t="n"/>
      <c r="M27" s="42" t="n"/>
      <c r="N27" s="34">
        <f>IF(OR(O27="G",O27="D"),0,IF(AND(K27="",L27=""),0,MAX(0,IFERROR(K27+0,0)+IFERROR(L27+0,0)-IFERROR(M27+0,0))))</f>
        <v/>
      </c>
      <c r="O27" s="43" t="n"/>
      <c r="P27" s="36">
        <f>IF(B27="","",IF(OR(J27="G",J27="D"),0,I27)+IF(OR(O27="G",O27="D"),0,N27))</f>
        <v/>
      </c>
      <c r="Q27" s="37">
        <f>IF(OR(B27="",P27=0),"-",RANK.EQ(P27,$P$6:$P$45,0))</f>
        <v/>
      </c>
      <c r="R27" s="43">
        <f>IF(OR(B27="",I27=0),"-",IF(OR(J27="G",J27="D"),IF(J27="G","G","D"),COUNTIF($I$6:$I$45,"&gt;"&amp;I27)+1))</f>
        <v/>
      </c>
      <c r="S27" s="43">
        <f>IF(OR(B27="",N27=0),"-",IF(OR(O27="G",O27="D"),IF(O27="G","G","D"),COUNTIF($N$6:$N$45,"&gt;"&amp;N27)+1))</f>
        <v/>
      </c>
    </row>
    <row r="28">
      <c r="A28" s="29" t="n">
        <v>23</v>
      </c>
      <c r="B28" s="30" t="n"/>
      <c r="C28" s="30" t="n"/>
      <c r="D28" s="31" t="n"/>
      <c r="E28" s="32" t="n"/>
      <c r="F28" s="33" t="n"/>
      <c r="G28" s="33" t="n"/>
      <c r="H28" s="33" t="n"/>
      <c r="I28" s="34">
        <f>IF(OR(J28="G",J28="D"),0,IF(AND(F28="",G28=""),0,MAX(0,IFERROR(F28+0,0)+IFERROR(G28+0,0)-IFERROR(H28+0,0))))</f>
        <v/>
      </c>
      <c r="J28" s="35" t="n"/>
      <c r="K28" s="33" t="n"/>
      <c r="L28" s="33" t="n"/>
      <c r="M28" s="33" t="n"/>
      <c r="N28" s="34">
        <f>IF(OR(O28="G",O28="D"),0,IF(AND(K28="",L28=""),0,MAX(0,IFERROR(K28+0,0)+IFERROR(L28+0,0)-IFERROR(M28+0,0))))</f>
        <v/>
      </c>
      <c r="O28" s="35" t="n"/>
      <c r="P28" s="36">
        <f>IF(B28="","",IF(OR(J28="G",J28="D"),0,I28)+IF(OR(O28="G",O28="D"),0,N28))</f>
        <v/>
      </c>
      <c r="Q28" s="37">
        <f>IF(OR(B28="",P28=0),"-",RANK.EQ(P28,$P$6:$P$45,0))</f>
        <v/>
      </c>
      <c r="R28" s="35">
        <f>IF(OR(B28="",I28=0),"-",IF(OR(J28="G",J28="D"),IF(J28="G","G","D"),COUNTIF($I$6:$I$45,"&gt;"&amp;I28)+1))</f>
        <v/>
      </c>
      <c r="S28" s="35">
        <f>IF(OR(B28="",N28=0),"-",IF(OR(O28="G",O28="D"),IF(O28="G","G","D"),COUNTIF($N$6:$N$45,"&gt;"&amp;N28)+1))</f>
        <v/>
      </c>
    </row>
    <row r="29">
      <c r="A29" s="38" t="n">
        <v>24</v>
      </c>
      <c r="B29" s="39" t="n"/>
      <c r="C29" s="39" t="n"/>
      <c r="D29" s="40" t="n"/>
      <c r="E29" s="41" t="n"/>
      <c r="F29" s="42" t="n"/>
      <c r="G29" s="42" t="n"/>
      <c r="H29" s="42" t="n"/>
      <c r="I29" s="34">
        <f>IF(OR(J29="G",J29="D"),0,IF(AND(F29="",G29=""),0,MAX(0,IFERROR(F29+0,0)+IFERROR(G29+0,0)-IFERROR(H29+0,0))))</f>
        <v/>
      </c>
      <c r="J29" s="43" t="n"/>
      <c r="K29" s="42" t="n"/>
      <c r="L29" s="42" t="n"/>
      <c r="M29" s="42" t="n"/>
      <c r="N29" s="34">
        <f>IF(OR(O29="G",O29="D"),0,IF(AND(K29="",L29=""),0,MAX(0,IFERROR(K29+0,0)+IFERROR(L29+0,0)-IFERROR(M29+0,0))))</f>
        <v/>
      </c>
      <c r="O29" s="43" t="n"/>
      <c r="P29" s="36">
        <f>IF(B29="","",IF(OR(J29="G",J29="D"),0,I29)+IF(OR(O29="G",O29="D"),0,N29))</f>
        <v/>
      </c>
      <c r="Q29" s="37">
        <f>IF(OR(B29="",P29=0),"-",RANK.EQ(P29,$P$6:$P$45,0))</f>
        <v/>
      </c>
      <c r="R29" s="43">
        <f>IF(OR(B29="",I29=0),"-",IF(OR(J29="G",J29="D"),IF(J29="G","G","D"),COUNTIF($I$6:$I$45,"&gt;"&amp;I29)+1))</f>
        <v/>
      </c>
      <c r="S29" s="43">
        <f>IF(OR(B29="",N29=0),"-",IF(OR(O29="G",O29="D"),IF(O29="G","G","D"),COUNTIF($N$6:$N$45,"&gt;"&amp;N29)+1))</f>
        <v/>
      </c>
    </row>
    <row r="30">
      <c r="A30" s="29" t="n">
        <v>25</v>
      </c>
      <c r="B30" s="30" t="n"/>
      <c r="C30" s="30" t="n"/>
      <c r="D30" s="31" t="n"/>
      <c r="E30" s="32" t="n"/>
      <c r="F30" s="33" t="n"/>
      <c r="G30" s="33" t="n"/>
      <c r="H30" s="33" t="n"/>
      <c r="I30" s="34">
        <f>IF(OR(J30="G",J30="D"),0,IF(AND(F30="",G30=""),0,MAX(0,IFERROR(F30+0,0)+IFERROR(G30+0,0)-IFERROR(H30+0,0))))</f>
        <v/>
      </c>
      <c r="J30" s="35" t="n"/>
      <c r="K30" s="33" t="n"/>
      <c r="L30" s="33" t="n"/>
      <c r="M30" s="33" t="n"/>
      <c r="N30" s="34">
        <f>IF(OR(O30="G",O30="D"),0,IF(AND(K30="",L30=""),0,MAX(0,IFERROR(K30+0,0)+IFERROR(L30+0,0)-IFERROR(M30+0,0))))</f>
        <v/>
      </c>
      <c r="O30" s="35" t="n"/>
      <c r="P30" s="36">
        <f>IF(B30="","",IF(OR(J30="G",J30="D"),0,I30)+IF(OR(O30="G",O30="D"),0,N30))</f>
        <v/>
      </c>
      <c r="Q30" s="37">
        <f>IF(OR(B30="",P30=0),"-",RANK.EQ(P30,$P$6:$P$45,0))</f>
        <v/>
      </c>
      <c r="R30" s="35">
        <f>IF(OR(B30="",I30=0),"-",IF(OR(J30="G",J30="D"),IF(J30="G","G","D"),COUNTIF($I$6:$I$45,"&gt;"&amp;I30)+1))</f>
        <v/>
      </c>
      <c r="S30" s="35">
        <f>IF(OR(B30="",N30=0),"-",IF(OR(O30="G",O30="D"),IF(O30="G","G","D"),COUNTIF($N$6:$N$45,"&gt;"&amp;N30)+1))</f>
        <v/>
      </c>
    </row>
    <row r="31">
      <c r="A31" s="38" t="n">
        <v>26</v>
      </c>
      <c r="B31" s="39" t="n"/>
      <c r="C31" s="39" t="n"/>
      <c r="D31" s="40" t="n"/>
      <c r="E31" s="41" t="n"/>
      <c r="F31" s="42" t="n"/>
      <c r="G31" s="42" t="n"/>
      <c r="H31" s="42" t="n"/>
      <c r="I31" s="34">
        <f>IF(OR(J31="G",J31="D"),0,IF(AND(F31="",G31=""),0,MAX(0,IFERROR(F31+0,0)+IFERROR(G31+0,0)-IFERROR(H31+0,0))))</f>
        <v/>
      </c>
      <c r="J31" s="43" t="n"/>
      <c r="K31" s="42" t="n"/>
      <c r="L31" s="42" t="n"/>
      <c r="M31" s="42" t="n"/>
      <c r="N31" s="34">
        <f>IF(OR(O31="G",O31="D"),0,IF(AND(K31="",L31=""),0,MAX(0,IFERROR(K31+0,0)+IFERROR(L31+0,0)-IFERROR(M31+0,0))))</f>
        <v/>
      </c>
      <c r="O31" s="43" t="n"/>
      <c r="P31" s="36">
        <f>IF(B31="","",IF(OR(J31="G",J31="D"),0,I31)+IF(OR(O31="G",O31="D"),0,N31))</f>
        <v/>
      </c>
      <c r="Q31" s="37">
        <f>IF(OR(B31="",P31=0),"-",RANK.EQ(P31,$P$6:$P$45,0))</f>
        <v/>
      </c>
      <c r="R31" s="43">
        <f>IF(OR(B31="",I31=0),"-",IF(OR(J31="G",J31="D"),IF(J31="G","G","D"),COUNTIF($I$6:$I$45,"&gt;"&amp;I31)+1))</f>
        <v/>
      </c>
      <c r="S31" s="43">
        <f>IF(OR(B31="",N31=0),"-",IF(OR(O31="G",O31="D"),IF(O31="G","G","D"),COUNTIF($N$6:$N$45,"&gt;"&amp;N31)+1))</f>
        <v/>
      </c>
    </row>
    <row r="32">
      <c r="A32" s="29" t="n">
        <v>27</v>
      </c>
      <c r="B32" s="30" t="n"/>
      <c r="C32" s="30" t="n"/>
      <c r="D32" s="31" t="n"/>
      <c r="E32" s="32" t="n"/>
      <c r="F32" s="33" t="n"/>
      <c r="G32" s="33" t="n"/>
      <c r="H32" s="33" t="n"/>
      <c r="I32" s="34">
        <f>IF(OR(J32="G",J32="D"),0,IF(AND(F32="",G32=""),0,MAX(0,IFERROR(F32+0,0)+IFERROR(G32+0,0)-IFERROR(H32+0,0))))</f>
        <v/>
      </c>
      <c r="J32" s="35" t="n"/>
      <c r="K32" s="33" t="n"/>
      <c r="L32" s="33" t="n"/>
      <c r="M32" s="33" t="n"/>
      <c r="N32" s="34">
        <f>IF(OR(O32="G",O32="D"),0,IF(AND(K32="",L32=""),0,MAX(0,IFERROR(K32+0,0)+IFERROR(L32+0,0)-IFERROR(M32+0,0))))</f>
        <v/>
      </c>
      <c r="O32" s="35" t="n"/>
      <c r="P32" s="36">
        <f>IF(B32="","",IF(OR(J32="G",J32="D"),0,I32)+IF(OR(O32="G",O32="D"),0,N32))</f>
        <v/>
      </c>
      <c r="Q32" s="37">
        <f>IF(OR(B32="",P32=0),"-",RANK.EQ(P32,$P$6:$P$45,0))</f>
        <v/>
      </c>
      <c r="R32" s="35">
        <f>IF(OR(B32="",I32=0),"-",IF(OR(J32="G",J32="D"),IF(J32="G","G","D"),COUNTIF($I$6:$I$45,"&gt;"&amp;I32)+1))</f>
        <v/>
      </c>
      <c r="S32" s="35">
        <f>IF(OR(B32="",N32=0),"-",IF(OR(O32="G",O32="D"),IF(O32="G","G","D"),COUNTIF($N$6:$N$45,"&gt;"&amp;N32)+1))</f>
        <v/>
      </c>
    </row>
    <row r="33">
      <c r="A33" s="38" t="n">
        <v>28</v>
      </c>
      <c r="B33" s="39" t="n"/>
      <c r="C33" s="39" t="n"/>
      <c r="D33" s="40" t="n"/>
      <c r="E33" s="41" t="n"/>
      <c r="F33" s="42" t="n"/>
      <c r="G33" s="42" t="n"/>
      <c r="H33" s="42" t="n"/>
      <c r="I33" s="34">
        <f>IF(OR(J33="G",J33="D"),0,IF(AND(F33="",G33=""),0,MAX(0,IFERROR(F33+0,0)+IFERROR(G33+0,0)-IFERROR(H33+0,0))))</f>
        <v/>
      </c>
      <c r="J33" s="43" t="n"/>
      <c r="K33" s="42" t="n"/>
      <c r="L33" s="42" t="n"/>
      <c r="M33" s="42" t="n"/>
      <c r="N33" s="34">
        <f>IF(OR(O33="G",O33="D"),0,IF(AND(K33="",L33=""),0,MAX(0,IFERROR(K33+0,0)+IFERROR(L33+0,0)-IFERROR(M33+0,0))))</f>
        <v/>
      </c>
      <c r="O33" s="43" t="n"/>
      <c r="P33" s="36">
        <f>IF(B33="","",IF(OR(J33="G",J33="D"),0,I33)+IF(OR(O33="G",O33="D"),0,N33))</f>
        <v/>
      </c>
      <c r="Q33" s="37">
        <f>IF(OR(B33="",P33=0),"-",RANK.EQ(P33,$P$6:$P$45,0))</f>
        <v/>
      </c>
      <c r="R33" s="43">
        <f>IF(OR(B33="",I33=0),"-",IF(OR(J33="G",J33="D"),IF(J33="G","G","D"),COUNTIF($I$6:$I$45,"&gt;"&amp;I33)+1))</f>
        <v/>
      </c>
      <c r="S33" s="43">
        <f>IF(OR(B33="",N33=0),"-",IF(OR(O33="G",O33="D"),IF(O33="G","G","D"),COUNTIF($N$6:$N$45,"&gt;"&amp;N33)+1))</f>
        <v/>
      </c>
    </row>
    <row r="34">
      <c r="A34" s="29" t="n">
        <v>29</v>
      </c>
      <c r="B34" s="30" t="n"/>
      <c r="C34" s="30" t="n"/>
      <c r="D34" s="31" t="n"/>
      <c r="E34" s="32" t="n"/>
      <c r="F34" s="33" t="n"/>
      <c r="G34" s="33" t="n"/>
      <c r="H34" s="33" t="n"/>
      <c r="I34" s="34">
        <f>IF(OR(J34="G",J34="D"),0,IF(AND(F34="",G34=""),0,MAX(0,IFERROR(F34+0,0)+IFERROR(G34+0,0)-IFERROR(H34+0,0))))</f>
        <v/>
      </c>
      <c r="J34" s="35" t="n"/>
      <c r="K34" s="33" t="n"/>
      <c r="L34" s="33" t="n"/>
      <c r="M34" s="33" t="n"/>
      <c r="N34" s="34">
        <f>IF(OR(O34="G",O34="D"),0,IF(AND(K34="",L34=""),0,MAX(0,IFERROR(K34+0,0)+IFERROR(L34+0,0)-IFERROR(M34+0,0))))</f>
        <v/>
      </c>
      <c r="O34" s="35" t="n"/>
      <c r="P34" s="36">
        <f>IF(B34="","",IF(OR(J34="G",J34="D"),0,I34)+IF(OR(O34="G",O34="D"),0,N34))</f>
        <v/>
      </c>
      <c r="Q34" s="37">
        <f>IF(OR(B34="",P34=0),"-",RANK.EQ(P34,$P$6:$P$45,0))</f>
        <v/>
      </c>
      <c r="R34" s="35">
        <f>IF(OR(B34="",I34=0),"-",IF(OR(J34="G",J34="D"),IF(J34="G","G","D"),COUNTIF($I$6:$I$45,"&gt;"&amp;I34)+1))</f>
        <v/>
      </c>
      <c r="S34" s="35">
        <f>IF(OR(B34="",N34=0),"-",IF(OR(O34="G",O34="D"),IF(O34="G","G","D"),COUNTIF($N$6:$N$45,"&gt;"&amp;N34)+1))</f>
        <v/>
      </c>
    </row>
    <row r="35">
      <c r="A35" s="38" t="n">
        <v>30</v>
      </c>
      <c r="B35" s="39" t="n"/>
      <c r="C35" s="39" t="n"/>
      <c r="D35" s="40" t="n"/>
      <c r="E35" s="41" t="n"/>
      <c r="F35" s="42" t="n"/>
      <c r="G35" s="42" t="n"/>
      <c r="H35" s="42" t="n"/>
      <c r="I35" s="34">
        <f>IF(OR(J35="G",J35="D"),0,IF(AND(F35="",G35=""),0,MAX(0,IFERROR(F35+0,0)+IFERROR(G35+0,0)-IFERROR(H35+0,0))))</f>
        <v/>
      </c>
      <c r="J35" s="43" t="n"/>
      <c r="K35" s="42" t="n"/>
      <c r="L35" s="42" t="n"/>
      <c r="M35" s="42" t="n"/>
      <c r="N35" s="34">
        <f>IF(OR(O35="G",O35="D"),0,IF(AND(K35="",L35=""),0,MAX(0,IFERROR(K35+0,0)+IFERROR(L35+0,0)-IFERROR(M35+0,0))))</f>
        <v/>
      </c>
      <c r="O35" s="43" t="n"/>
      <c r="P35" s="36">
        <f>IF(B35="","",IF(OR(J35="G",J35="D"),0,I35)+IF(OR(O35="G",O35="D"),0,N35))</f>
        <v/>
      </c>
      <c r="Q35" s="37">
        <f>IF(OR(B35="",P35=0),"-",RANK.EQ(P35,$P$6:$P$45,0))</f>
        <v/>
      </c>
      <c r="R35" s="43">
        <f>IF(OR(B35="",I35=0),"-",IF(OR(J35="G",J35="D"),IF(J35="G","G","D"),COUNTIF($I$6:$I$45,"&gt;"&amp;I35)+1))</f>
        <v/>
      </c>
      <c r="S35" s="43">
        <f>IF(OR(B35="",N35=0),"-",IF(OR(O35="G",O35="D"),IF(O35="G","G","D"),COUNTIF($N$6:$N$45,"&gt;"&amp;N35)+1))</f>
        <v/>
      </c>
    </row>
    <row r="36">
      <c r="A36" s="29" t="n">
        <v>31</v>
      </c>
      <c r="B36" s="30" t="n"/>
      <c r="C36" s="30" t="n"/>
      <c r="D36" s="31" t="n"/>
      <c r="E36" s="32" t="n"/>
      <c r="F36" s="33" t="n"/>
      <c r="G36" s="33" t="n"/>
      <c r="H36" s="33" t="n"/>
      <c r="I36" s="34">
        <f>IF(OR(J36="G",J36="D"),0,IF(AND(F36="",G36=""),0,MAX(0,IFERROR(F36+0,0)+IFERROR(G36+0,0)-IFERROR(H36+0,0))))</f>
        <v/>
      </c>
      <c r="J36" s="35" t="n"/>
      <c r="K36" s="33" t="n"/>
      <c r="L36" s="33" t="n"/>
      <c r="M36" s="33" t="n"/>
      <c r="N36" s="34">
        <f>IF(OR(O36="G",O36="D"),0,IF(AND(K36="",L36=""),0,MAX(0,IFERROR(K36+0,0)+IFERROR(L36+0,0)-IFERROR(M36+0,0))))</f>
        <v/>
      </c>
      <c r="O36" s="35" t="n"/>
      <c r="P36" s="36">
        <f>IF(B36="","",IF(OR(J36="G",J36="D"),0,I36)+IF(OR(O36="G",O36="D"),0,N36))</f>
        <v/>
      </c>
      <c r="Q36" s="37">
        <f>IF(OR(B36="",P36=0),"-",RANK.EQ(P36,$P$6:$P$45,0))</f>
        <v/>
      </c>
      <c r="R36" s="35">
        <f>IF(OR(B36="",I36=0),"-",IF(OR(J36="G",J36="D"),IF(J36="G","G","D"),COUNTIF($I$6:$I$45,"&gt;"&amp;I36)+1))</f>
        <v/>
      </c>
      <c r="S36" s="35">
        <f>IF(OR(B36="",N36=0),"-",IF(OR(O36="G",O36="D"),IF(O36="G","G","D"),COUNTIF($N$6:$N$45,"&gt;"&amp;N36)+1))</f>
        <v/>
      </c>
    </row>
    <row r="37">
      <c r="A37" s="38" t="n">
        <v>32</v>
      </c>
      <c r="B37" s="39" t="n"/>
      <c r="C37" s="39" t="n"/>
      <c r="D37" s="40" t="n"/>
      <c r="E37" s="41" t="n"/>
      <c r="F37" s="42" t="n"/>
      <c r="G37" s="42" t="n"/>
      <c r="H37" s="42" t="n"/>
      <c r="I37" s="34">
        <f>IF(OR(J37="G",J37="D"),0,IF(AND(F37="",G37=""),0,MAX(0,IFERROR(F37+0,0)+IFERROR(G37+0,0)-IFERROR(H37+0,0))))</f>
        <v/>
      </c>
      <c r="J37" s="43" t="n"/>
      <c r="K37" s="42" t="n"/>
      <c r="L37" s="42" t="n"/>
      <c r="M37" s="42" t="n"/>
      <c r="N37" s="34">
        <f>IF(OR(O37="G",O37="D"),0,IF(AND(K37="",L37=""),0,MAX(0,IFERROR(K37+0,0)+IFERROR(L37+0,0)-IFERROR(M37+0,0))))</f>
        <v/>
      </c>
      <c r="O37" s="43" t="n"/>
      <c r="P37" s="36">
        <f>IF(B37="","",IF(OR(J37="G",J37="D"),0,I37)+IF(OR(O37="G",O37="D"),0,N37))</f>
        <v/>
      </c>
      <c r="Q37" s="37">
        <f>IF(OR(B37="",P37=0),"-",RANK.EQ(P37,$P$6:$P$45,0))</f>
        <v/>
      </c>
      <c r="R37" s="43">
        <f>IF(OR(B37="",I37=0),"-",IF(OR(J37="G",J37="D"),IF(J37="G","G","D"),COUNTIF($I$6:$I$45,"&gt;"&amp;I37)+1))</f>
        <v/>
      </c>
      <c r="S37" s="43">
        <f>IF(OR(B37="",N37=0),"-",IF(OR(O37="G",O37="D"),IF(O37="G","G","D"),COUNTIF($N$6:$N$45,"&gt;"&amp;N37)+1))</f>
        <v/>
      </c>
    </row>
    <row r="38">
      <c r="A38" s="29" t="n">
        <v>33</v>
      </c>
      <c r="B38" s="30" t="n"/>
      <c r="C38" s="30" t="n"/>
      <c r="D38" s="31" t="n"/>
      <c r="E38" s="32" t="n"/>
      <c r="F38" s="33" t="n"/>
      <c r="G38" s="33" t="n"/>
      <c r="H38" s="33" t="n"/>
      <c r="I38" s="34">
        <f>IF(OR(J38="G",J38="D"),0,IF(AND(F38="",G38=""),0,MAX(0,IFERROR(F38+0,0)+IFERROR(G38+0,0)-IFERROR(H38+0,0))))</f>
        <v/>
      </c>
      <c r="J38" s="35" t="n"/>
      <c r="K38" s="33" t="n"/>
      <c r="L38" s="33" t="n"/>
      <c r="M38" s="33" t="n"/>
      <c r="N38" s="34">
        <f>IF(OR(O38="G",O38="D"),0,IF(AND(K38="",L38=""),0,MAX(0,IFERROR(K38+0,0)+IFERROR(L38+0,0)-IFERROR(M38+0,0))))</f>
        <v/>
      </c>
      <c r="O38" s="35" t="n"/>
      <c r="P38" s="36">
        <f>IF(B38="","",IF(OR(J38="G",J38="D"),0,I38)+IF(OR(O38="G",O38="D"),0,N38))</f>
        <v/>
      </c>
      <c r="Q38" s="37">
        <f>IF(OR(B38="",P38=0),"-",RANK.EQ(P38,$P$6:$P$45,0))</f>
        <v/>
      </c>
      <c r="R38" s="35">
        <f>IF(OR(B38="",I38=0),"-",IF(OR(J38="G",J38="D"),IF(J38="G","G","D"),COUNTIF($I$6:$I$45,"&gt;"&amp;I38)+1))</f>
        <v/>
      </c>
      <c r="S38" s="35">
        <f>IF(OR(B38="",N38=0),"-",IF(OR(O38="G",O38="D"),IF(O38="G","G","D"),COUNTIF($N$6:$N$45,"&gt;"&amp;N38)+1))</f>
        <v/>
      </c>
    </row>
    <row r="39">
      <c r="A39" s="38" t="n">
        <v>34</v>
      </c>
      <c r="B39" s="39" t="n"/>
      <c r="C39" s="39" t="n"/>
      <c r="D39" s="40" t="n"/>
      <c r="E39" s="41" t="n"/>
      <c r="F39" s="42" t="n"/>
      <c r="G39" s="42" t="n"/>
      <c r="H39" s="42" t="n"/>
      <c r="I39" s="34">
        <f>IF(OR(J39="G",J39="D"),0,IF(AND(F39="",G39=""),0,MAX(0,IFERROR(F39+0,0)+IFERROR(G39+0,0)-IFERROR(H39+0,0))))</f>
        <v/>
      </c>
      <c r="J39" s="43" t="n"/>
      <c r="K39" s="42" t="n"/>
      <c r="L39" s="42" t="n"/>
      <c r="M39" s="42" t="n"/>
      <c r="N39" s="34">
        <f>IF(OR(O39="G",O39="D"),0,IF(AND(K39="",L39=""),0,MAX(0,IFERROR(K39+0,0)+IFERROR(L39+0,0)-IFERROR(M39+0,0))))</f>
        <v/>
      </c>
      <c r="O39" s="43" t="n"/>
      <c r="P39" s="36">
        <f>IF(B39="","",IF(OR(J39="G",J39="D"),0,I39)+IF(OR(O39="G",O39="D"),0,N39))</f>
        <v/>
      </c>
      <c r="Q39" s="37">
        <f>IF(OR(B39="",P39=0),"-",RANK.EQ(P39,$P$6:$P$45,0))</f>
        <v/>
      </c>
      <c r="R39" s="43">
        <f>IF(OR(B39="",I39=0),"-",IF(OR(J39="G",J39="D"),IF(J39="G","G","D"),COUNTIF($I$6:$I$45,"&gt;"&amp;I39)+1))</f>
        <v/>
      </c>
      <c r="S39" s="43">
        <f>IF(OR(B39="",N39=0),"-",IF(OR(O39="G",O39="D"),IF(O39="G","G","D"),COUNTIF($N$6:$N$45,"&gt;"&amp;N39)+1))</f>
        <v/>
      </c>
    </row>
    <row r="40">
      <c r="A40" s="29" t="n">
        <v>35</v>
      </c>
      <c r="B40" s="30" t="n"/>
      <c r="C40" s="30" t="n"/>
      <c r="D40" s="31" t="n"/>
      <c r="E40" s="32" t="n"/>
      <c r="F40" s="33" t="n"/>
      <c r="G40" s="33" t="n"/>
      <c r="H40" s="33" t="n"/>
      <c r="I40" s="34">
        <f>IF(OR(J40="G",J40="D"),0,IF(AND(F40="",G40=""),0,MAX(0,IFERROR(F40+0,0)+IFERROR(G40+0,0)-IFERROR(H40+0,0))))</f>
        <v/>
      </c>
      <c r="J40" s="35" t="n"/>
      <c r="K40" s="33" t="n"/>
      <c r="L40" s="33" t="n"/>
      <c r="M40" s="33" t="n"/>
      <c r="N40" s="34">
        <f>IF(OR(O40="G",O40="D"),0,IF(AND(K40="",L40=""),0,MAX(0,IFERROR(K40+0,0)+IFERROR(L40+0,0)-IFERROR(M40+0,0))))</f>
        <v/>
      </c>
      <c r="O40" s="35" t="n"/>
      <c r="P40" s="36">
        <f>IF(B40="","",IF(OR(J40="G",J40="D"),0,I40)+IF(OR(O40="G",O40="D"),0,N40))</f>
        <v/>
      </c>
      <c r="Q40" s="37">
        <f>IF(OR(B40="",P40=0),"-",RANK.EQ(P40,$P$6:$P$45,0))</f>
        <v/>
      </c>
      <c r="R40" s="35">
        <f>IF(OR(B40="",I40=0),"-",IF(OR(J40="G",J40="D"),IF(J40="G","G","D"),COUNTIF($I$6:$I$45,"&gt;"&amp;I40)+1))</f>
        <v/>
      </c>
      <c r="S40" s="35">
        <f>IF(OR(B40="",N40=0),"-",IF(OR(O40="G",O40="D"),IF(O40="G","G","D"),COUNTIF($N$6:$N$45,"&gt;"&amp;N40)+1))</f>
        <v/>
      </c>
    </row>
    <row r="41">
      <c r="A41" s="38" t="n">
        <v>36</v>
      </c>
      <c r="B41" s="39" t="n"/>
      <c r="C41" s="39" t="n"/>
      <c r="D41" s="40" t="n"/>
      <c r="E41" s="41" t="n"/>
      <c r="F41" s="42" t="n"/>
      <c r="G41" s="42" t="n"/>
      <c r="H41" s="42" t="n"/>
      <c r="I41" s="34">
        <f>IF(OR(J41="G",J41="D"),0,IF(AND(F41="",G41=""),0,MAX(0,IFERROR(F41+0,0)+IFERROR(G41+0,0)-IFERROR(H41+0,0))))</f>
        <v/>
      </c>
      <c r="J41" s="43" t="n"/>
      <c r="K41" s="42" t="n"/>
      <c r="L41" s="42" t="n"/>
      <c r="M41" s="42" t="n"/>
      <c r="N41" s="34">
        <f>IF(OR(O41="G",O41="D"),0,IF(AND(K41="",L41=""),0,MAX(0,IFERROR(K41+0,0)+IFERROR(L41+0,0)-IFERROR(M41+0,0))))</f>
        <v/>
      </c>
      <c r="O41" s="43" t="n"/>
      <c r="P41" s="36">
        <f>IF(B41="","",IF(OR(J41="G",J41="D"),0,I41)+IF(OR(O41="G",O41="D"),0,N41))</f>
        <v/>
      </c>
      <c r="Q41" s="37">
        <f>IF(OR(B41="",P41=0),"-",RANK.EQ(P41,$P$6:$P$45,0))</f>
        <v/>
      </c>
      <c r="R41" s="43">
        <f>IF(OR(B41="",I41=0),"-",IF(OR(J41="G",J41="D"),IF(J41="G","G","D"),COUNTIF($I$6:$I$45,"&gt;"&amp;I41)+1))</f>
        <v/>
      </c>
      <c r="S41" s="43">
        <f>IF(OR(B41="",N41=0),"-",IF(OR(O41="G",O41="D"),IF(O41="G","G","D"),COUNTIF($N$6:$N$45,"&gt;"&amp;N41)+1))</f>
        <v/>
      </c>
    </row>
    <row r="42">
      <c r="A42" s="29" t="n">
        <v>37</v>
      </c>
      <c r="B42" s="30" t="n"/>
      <c r="C42" s="30" t="n"/>
      <c r="D42" s="31" t="n"/>
      <c r="E42" s="32" t="n"/>
      <c r="F42" s="33" t="n"/>
      <c r="G42" s="33" t="n"/>
      <c r="H42" s="33" t="n"/>
      <c r="I42" s="34">
        <f>IF(OR(J42="G",J42="D"),0,IF(AND(F42="",G42=""),0,MAX(0,IFERROR(F42+0,0)+IFERROR(G42+0,0)-IFERROR(H42+0,0))))</f>
        <v/>
      </c>
      <c r="J42" s="35" t="n"/>
      <c r="K42" s="33" t="n"/>
      <c r="L42" s="33" t="n"/>
      <c r="M42" s="33" t="n"/>
      <c r="N42" s="34">
        <f>IF(OR(O42="G",O42="D"),0,IF(AND(K42="",L42=""),0,MAX(0,IFERROR(K42+0,0)+IFERROR(L42+0,0)-IFERROR(M42+0,0))))</f>
        <v/>
      </c>
      <c r="O42" s="35" t="n"/>
      <c r="P42" s="36">
        <f>IF(B42="","",IF(OR(J42="G",J42="D"),0,I42)+IF(OR(O42="G",O42="D"),0,N42))</f>
        <v/>
      </c>
      <c r="Q42" s="37">
        <f>IF(OR(B42="",P42=0),"-",RANK.EQ(P42,$P$6:$P$45,0))</f>
        <v/>
      </c>
      <c r="R42" s="35">
        <f>IF(OR(B42="",I42=0),"-",IF(OR(J42="G",J42="D"),IF(J42="G","G","D"),COUNTIF($I$6:$I$45,"&gt;"&amp;I42)+1))</f>
        <v/>
      </c>
      <c r="S42" s="35">
        <f>IF(OR(B42="",N42=0),"-",IF(OR(O42="G",O42="D"),IF(O42="G","G","D"),COUNTIF($N$6:$N$45,"&gt;"&amp;N42)+1))</f>
        <v/>
      </c>
    </row>
    <row r="43">
      <c r="A43" s="38" t="n">
        <v>38</v>
      </c>
      <c r="B43" s="39" t="n"/>
      <c r="C43" s="39" t="n"/>
      <c r="D43" s="40" t="n"/>
      <c r="E43" s="41" t="n"/>
      <c r="F43" s="42" t="n"/>
      <c r="G43" s="42" t="n"/>
      <c r="H43" s="42" t="n"/>
      <c r="I43" s="34">
        <f>IF(OR(J43="G",J43="D"),0,IF(AND(F43="",G43=""),0,MAX(0,IFERROR(F43+0,0)+IFERROR(G43+0,0)-IFERROR(H43+0,0))))</f>
        <v/>
      </c>
      <c r="J43" s="43" t="n"/>
      <c r="K43" s="42" t="n"/>
      <c r="L43" s="42" t="n"/>
      <c r="M43" s="42" t="n"/>
      <c r="N43" s="34">
        <f>IF(OR(O43="G",O43="D"),0,IF(AND(K43="",L43=""),0,MAX(0,IFERROR(K43+0,0)+IFERROR(L43+0,0)-IFERROR(M43+0,0))))</f>
        <v/>
      </c>
      <c r="O43" s="43" t="n"/>
      <c r="P43" s="36">
        <f>IF(B43="","",IF(OR(J43="G",J43="D"),0,I43)+IF(OR(O43="G",O43="D"),0,N43))</f>
        <v/>
      </c>
      <c r="Q43" s="37">
        <f>IF(OR(B43="",P43=0),"-",RANK.EQ(P43,$P$6:$P$45,0))</f>
        <v/>
      </c>
      <c r="R43" s="43">
        <f>IF(OR(B43="",I43=0),"-",IF(OR(J43="G",J43="D"),IF(J43="G","G","D"),COUNTIF($I$6:$I$45,"&gt;"&amp;I43)+1))</f>
        <v/>
      </c>
      <c r="S43" s="43">
        <f>IF(OR(B43="",N43=0),"-",IF(OR(O43="G",O43="D"),IF(O43="G","G","D"),COUNTIF($N$6:$N$45,"&gt;"&amp;N43)+1))</f>
        <v/>
      </c>
    </row>
    <row r="44">
      <c r="A44" s="29" t="n">
        <v>39</v>
      </c>
      <c r="B44" s="30" t="n"/>
      <c r="C44" s="30" t="n"/>
      <c r="D44" s="31" t="n"/>
      <c r="E44" s="32" t="n"/>
      <c r="F44" s="33" t="n"/>
      <c r="G44" s="33" t="n"/>
      <c r="H44" s="33" t="n"/>
      <c r="I44" s="34">
        <f>IF(OR(J44="G",J44="D"),0,IF(AND(F44="",G44=""),0,MAX(0,IFERROR(F44+0,0)+IFERROR(G44+0,0)-IFERROR(H44+0,0))))</f>
        <v/>
      </c>
      <c r="J44" s="35" t="n"/>
      <c r="K44" s="33" t="n"/>
      <c r="L44" s="33" t="n"/>
      <c r="M44" s="33" t="n"/>
      <c r="N44" s="34">
        <f>IF(OR(O44="G",O44="D"),0,IF(AND(K44="",L44=""),0,MAX(0,IFERROR(K44+0,0)+IFERROR(L44+0,0)-IFERROR(M44+0,0))))</f>
        <v/>
      </c>
      <c r="O44" s="35" t="n"/>
      <c r="P44" s="36">
        <f>IF(B44="","",IF(OR(J44="G",J44="D"),0,I44)+IF(OR(O44="G",O44="D"),0,N44))</f>
        <v/>
      </c>
      <c r="Q44" s="37">
        <f>IF(OR(B44="",P44=0),"-",RANK.EQ(P44,$P$6:$P$45,0))</f>
        <v/>
      </c>
      <c r="R44" s="35">
        <f>IF(OR(B44="",I44=0),"-",IF(OR(J44="G",J44="D"),IF(J44="G","G","D"),COUNTIF($I$6:$I$45,"&gt;"&amp;I44)+1))</f>
        <v/>
      </c>
      <c r="S44" s="35">
        <f>IF(OR(B44="",N44=0),"-",IF(OR(O44="G",O44="D"),IF(O44="G","G","D"),COUNTIF($N$6:$N$45,"&gt;"&amp;N44)+1))</f>
        <v/>
      </c>
    </row>
    <row r="45">
      <c r="A45" s="38" t="n">
        <v>40</v>
      </c>
      <c r="B45" s="39" t="n"/>
      <c r="C45" s="39" t="n"/>
      <c r="D45" s="40" t="n"/>
      <c r="E45" s="41" t="n"/>
      <c r="F45" s="42" t="n"/>
      <c r="G45" s="42" t="n"/>
      <c r="H45" s="42" t="n"/>
      <c r="I45" s="34">
        <f>IF(OR(J45="G",J45="D"),0,IF(AND(F45="",G45=""),0,MAX(0,IFERROR(F45+0,0)+IFERROR(G45+0,0)-IFERROR(H45+0,0))))</f>
        <v/>
      </c>
      <c r="J45" s="43" t="n"/>
      <c r="K45" s="42" t="n"/>
      <c r="L45" s="42" t="n"/>
      <c r="M45" s="42" t="n"/>
      <c r="N45" s="34">
        <f>IF(OR(O45="G",O45="D"),0,IF(AND(K45="",L45=""),0,MAX(0,IFERROR(K45+0,0)+IFERROR(L45+0,0)-IFERROR(M45+0,0))))</f>
        <v/>
      </c>
      <c r="O45" s="43" t="n"/>
      <c r="P45" s="36">
        <f>IF(B45="","",IF(OR(J45="G",J45="D"),0,I45)+IF(OR(O45="G",O45="D"),0,N45))</f>
        <v/>
      </c>
      <c r="Q45" s="37">
        <f>IF(OR(B45="",P45=0),"-",RANK.EQ(P45,$P$6:$P$45,0))</f>
        <v/>
      </c>
      <c r="R45" s="43">
        <f>IF(OR(B45="",I45=0),"-",IF(OR(J45="G",J45="D"),IF(J45="G","G","D"),COUNTIF($I$6:$I$45,"&gt;"&amp;I45)+1))</f>
        <v/>
      </c>
      <c r="S45" s="43">
        <f>IF(OR(B45="",N45=0),"-",IF(OR(O45="G",O45="D"),IF(O45="G","G","D"),COUNTIF($N$6:$N$45,"&gt;"&amp;N45)+1))</f>
        <v/>
      </c>
    </row>
    <row r="47">
      <c r="A47" s="44">
        <f>COUNTA(B6:B45)&amp;" sporcu kayıtlı"</f>
        <v/>
      </c>
    </row>
  </sheetData>
  <mergeCells count="7">
    <mergeCell ref="K3:O3"/>
    <mergeCell ref="F3:J3"/>
    <mergeCell ref="A5:S5"/>
    <mergeCell ref="A1:S1"/>
    <mergeCell ref="A47:E47"/>
    <mergeCell ref="R3:S3"/>
    <mergeCell ref="A2:S2"/>
  </mergeCells>
  <conditionalFormatting sqref="Q6:Q45">
    <cfRule type="cellIs" priority="1" operator="equal" dxfId="0">
      <formula>1</formula>
    </cfRule>
    <cfRule type="cellIs" priority="2" operator="equal" dxfId="1">
      <formula>2</formula>
    </cfRule>
    <cfRule type="cellIs" priority="3" operator="equal" dxfId="2">
      <formula>3</formula>
    </cfRule>
  </conditionalFormatting>
  <conditionalFormatting sqref="J6:J45">
    <cfRule type="cellIs" priority="4" operator="equal" dxfId="3">
      <formula>"G"</formula>
    </cfRule>
    <cfRule type="cellIs" priority="5" operator="equal" dxfId="4">
      <formula>"D"</formula>
    </cfRule>
  </conditionalFormatting>
  <conditionalFormatting sqref="O6:O45">
    <cfRule type="cellIs" priority="6" operator="equal" dxfId="3">
      <formula>"G"</formula>
    </cfRule>
    <cfRule type="cellIs" priority="7" operator="equal" dxfId="4">
      <formula>"D"</formula>
    </cfRule>
  </conditionalFormatting>
  <dataValidations count="2">
    <dataValidation sqref="E6 E7 E8 E9 E10 E11 E12 E13 E14 E15 E16 E17 E18 E19 E20 E21 E22 E23 E24 E25 E26 E27 E28 E29 E30 E31 E32 E33 E34 E35 E36 E37 E38 E39 E40 E41 E42 E43 E44 E45" showDropDown="0" showInputMessage="0" showErrorMessage="0" allowBlank="1" type="list">
      <formula1>"Bireysel,Takım"</formula1>
    </dataValidation>
    <dataValidation sqref="J6 J7 J8 J9 J10 J11 J12 J13 J14 J15 J16 J17 J18 J19 J20 J21 J22 J23 J24 J25 J26 J27 J28 J29 J30 J31 J32 J33 J34 J35 J36 J37 J38 J39 J40 J41 J42 J43 J44 J45 O6 O7 O8 O9 O10 O11 O12 O13 O14 O15 O16 O17 O18 O19 O20 O21 O22 O23 O24 O25 O26 O27 O28 O29 O30 O31 O32 O33 O34 O35 O36 O37 O38 O39 O40 O41 O42 O43 O44 O45" showDropDown="0" showInputMessage="0" showErrorMessage="0" allowBlank="1" type="list">
      <formula1>"N,G,D"</formula1>
    </dataValidation>
  </dataValidations>
  <pageMargins left="0.4" right="0.4" top="0.5" bottom="0.5"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S4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4" customWidth="1" min="3" max="3"/>
    <col width="26" customWidth="1" min="4" max="4"/>
    <col width="10" customWidth="1" min="5" max="5"/>
    <col width="6.5" customWidth="1" min="6" max="6"/>
    <col width="6.5" customWidth="1" min="7" max="7"/>
    <col width="6.5" customWidth="1" min="8" max="8"/>
    <col width="9" customWidth="1" min="9" max="9"/>
    <col width="6" customWidth="1" min="10" max="10"/>
    <col width="6.5" customWidth="1" min="11" max="11"/>
    <col width="6.5" customWidth="1" min="12" max="12"/>
    <col width="6.5" customWidth="1" min="13" max="13"/>
    <col width="9" customWidth="1" min="14" max="14"/>
    <col width="6" customWidth="1" min="15" max="15"/>
    <col width="11" customWidth="1" min="16" max="16"/>
    <col width="9" customWidth="1" min="17" max="17"/>
    <col width="7" customWidth="1" min="18" max="18"/>
    <col width="7" customWidth="1" min="19" max="19"/>
  </cols>
  <sheetData>
    <row r="1" ht="32" customHeight="1">
      <c r="A1" s="45" t="inlineStr">
        <is>
          <t>MİNİK B ERKEKLER</t>
        </is>
      </c>
    </row>
    <row r="2" ht="15" customHeight="1">
      <c r="A2" s="23">
        <f>'YARIŞMA BİLGİLERİ'!C3&amp;"  —  "&amp;'YARIŞMA BİLGİLERİ'!C4&amp;"  |  "&amp;'YARIŞMA BİLGİLERİ'!C5</f>
        <v/>
      </c>
    </row>
    <row r="3" ht="22" customHeight="1">
      <c r="A3" s="46" t="n"/>
      <c r="B3" s="46" t="n"/>
      <c r="C3" s="46" t="n"/>
      <c r="D3" s="46" t="n"/>
      <c r="E3" s="46" t="n"/>
      <c r="F3" s="47" t="inlineStr">
        <is>
          <t>YER (FX)</t>
        </is>
      </c>
      <c r="G3" s="46" t="n"/>
      <c r="H3" s="46" t="n"/>
      <c r="I3" s="46" t="n"/>
      <c r="J3" s="46" t="n"/>
      <c r="K3" s="47" t="inlineStr">
        <is>
          <t>ATLAMA (VT)</t>
        </is>
      </c>
      <c r="L3" s="46" t="n"/>
      <c r="M3" s="46" t="n"/>
      <c r="N3" s="46" t="n"/>
      <c r="O3" s="46" t="n"/>
      <c r="P3" s="46" t="n"/>
      <c r="Q3" s="46" t="n"/>
      <c r="R3" s="48" t="inlineStr">
        <is>
          <t>ALET SIRALARI  (Eleme Seçimi için)</t>
        </is>
      </c>
      <c r="S3" s="46" t="n"/>
    </row>
    <row r="4" ht="30" customHeight="1">
      <c r="A4" s="27" t="inlineStr">
        <is>
          <t>No</t>
        </is>
      </c>
      <c r="B4" s="27" t="inlineStr">
        <is>
          <t>Ad</t>
        </is>
      </c>
      <c r="C4" s="27" t="inlineStr">
        <is>
          <t>Soyad</t>
        </is>
      </c>
      <c r="D4" s="27" t="inlineStr">
        <is>
          <t>Okul / Kulüp</t>
        </is>
      </c>
      <c r="E4" s="27" t="inlineStr">
        <is>
          <t>Tür</t>
        </is>
      </c>
      <c r="F4" s="27" t="inlineStr">
        <is>
          <t>D</t>
        </is>
      </c>
      <c r="G4" s="27" t="inlineStr">
        <is>
          <t>E</t>
        </is>
      </c>
      <c r="H4" s="27" t="inlineStr">
        <is>
          <t>ND</t>
        </is>
      </c>
      <c r="I4" s="27" t="inlineStr">
        <is>
          <t>Final</t>
        </is>
      </c>
      <c r="J4" s="27" t="inlineStr">
        <is>
          <t>Dur</t>
        </is>
      </c>
      <c r="K4" s="27" t="inlineStr">
        <is>
          <t>D</t>
        </is>
      </c>
      <c r="L4" s="27" t="inlineStr">
        <is>
          <t>E</t>
        </is>
      </c>
      <c r="M4" s="27" t="inlineStr">
        <is>
          <t>ND</t>
        </is>
      </c>
      <c r="N4" s="27" t="inlineStr">
        <is>
          <t>Final</t>
        </is>
      </c>
      <c r="O4" s="27" t="inlineStr">
        <is>
          <t>Dur</t>
        </is>
      </c>
      <c r="P4" s="27" t="inlineStr">
        <is>
          <t>TOPLAM</t>
        </is>
      </c>
      <c r="Q4" s="27" t="inlineStr">
        <is>
          <t>SIRALAMA</t>
        </is>
      </c>
      <c r="R4" s="27" t="inlineStr">
        <is>
          <t>FX</t>
        </is>
      </c>
      <c r="S4" s="27" t="inlineStr">
        <is>
          <t>VT</t>
        </is>
      </c>
    </row>
    <row r="5" ht="13" customHeight="1">
      <c r="A5" s="28" t="inlineStr">
        <is>
          <t>Final = MAX(0, D+E−ND)  |  Dur: N=Normal · G=Gecersiz · D=Yarışmadı/DNS  |  Mavi sütun = formül (elle girme)  |  Yeşil = Toplam  |  Sarı = Sıralama</t>
        </is>
      </c>
    </row>
    <row r="6">
      <c r="A6" s="29" t="n">
        <v>1</v>
      </c>
      <c r="B6" s="30" t="n"/>
      <c r="C6" s="30" t="n"/>
      <c r="D6" s="31" t="n"/>
      <c r="E6" s="32" t="n"/>
      <c r="F6" s="33" t="n"/>
      <c r="G6" s="33" t="n"/>
      <c r="H6" s="33" t="n"/>
      <c r="I6" s="34">
        <f>IF(OR(J6="G",J6="D"),0,IF(AND(F6="",G6=""),0,MAX(0,IFERROR(F6+0,0)+IFERROR(G6+0,0)-IFERROR(H6+0,0))))</f>
        <v/>
      </c>
      <c r="J6" s="35" t="n"/>
      <c r="K6" s="33" t="n"/>
      <c r="L6" s="33" t="n"/>
      <c r="M6" s="33" t="n"/>
      <c r="N6" s="34">
        <f>IF(OR(O6="G",O6="D"),0,IF(AND(K6="",L6=""),0,MAX(0,IFERROR(K6+0,0)+IFERROR(L6+0,0)-IFERROR(M6+0,0))))</f>
        <v/>
      </c>
      <c r="O6" s="35" t="n"/>
      <c r="P6" s="36">
        <f>IF(B6="","",IF(OR(J6="G",J6="D"),0,I6)+IF(OR(O6="G",O6="D"),0,N6))</f>
        <v/>
      </c>
      <c r="Q6" s="37">
        <f>IF(OR(B6="",P6=0),"-",RANK.EQ(P6,$P$6:$P$45,0))</f>
        <v/>
      </c>
      <c r="R6" s="35">
        <f>IF(OR(B6="",I6=0),"-",IF(OR(J6="G",J6="D"),IF(J6="G","G","D"),COUNTIF($I$6:$I$45,"&gt;"&amp;I6)+1))</f>
        <v/>
      </c>
      <c r="S6" s="35">
        <f>IF(OR(B6="",N6=0),"-",IF(OR(O6="G",O6="D"),IF(O6="G","G","D"),COUNTIF($N$6:$N$45,"&gt;"&amp;N6)+1))</f>
        <v/>
      </c>
    </row>
    <row r="7">
      <c r="A7" s="38" t="n">
        <v>2</v>
      </c>
      <c r="B7" s="39" t="n"/>
      <c r="C7" s="39" t="n"/>
      <c r="D7" s="40" t="n"/>
      <c r="E7" s="41" t="n"/>
      <c r="F7" s="42" t="n"/>
      <c r="G7" s="42" t="n"/>
      <c r="H7" s="42" t="n"/>
      <c r="I7" s="34">
        <f>IF(OR(J7="G",J7="D"),0,IF(AND(F7="",G7=""),0,MAX(0,IFERROR(F7+0,0)+IFERROR(G7+0,0)-IFERROR(H7+0,0))))</f>
        <v/>
      </c>
      <c r="J7" s="43" t="n"/>
      <c r="K7" s="42" t="n"/>
      <c r="L7" s="42" t="n"/>
      <c r="M7" s="42" t="n"/>
      <c r="N7" s="34">
        <f>IF(OR(O7="G",O7="D"),0,IF(AND(K7="",L7=""),0,MAX(0,IFERROR(K7+0,0)+IFERROR(L7+0,0)-IFERROR(M7+0,0))))</f>
        <v/>
      </c>
      <c r="O7" s="43" t="n"/>
      <c r="P7" s="36">
        <f>IF(B7="","",IF(OR(J7="G",J7="D"),0,I7)+IF(OR(O7="G",O7="D"),0,N7))</f>
        <v/>
      </c>
      <c r="Q7" s="37">
        <f>IF(OR(B7="",P7=0),"-",RANK.EQ(P7,$P$6:$P$45,0))</f>
        <v/>
      </c>
      <c r="R7" s="43">
        <f>IF(OR(B7="",I7=0),"-",IF(OR(J7="G",J7="D"),IF(J7="G","G","D"),COUNTIF($I$6:$I$45,"&gt;"&amp;I7)+1))</f>
        <v/>
      </c>
      <c r="S7" s="43">
        <f>IF(OR(B7="",N7=0),"-",IF(OR(O7="G",O7="D"),IF(O7="G","G","D"),COUNTIF($N$6:$N$45,"&gt;"&amp;N7)+1))</f>
        <v/>
      </c>
    </row>
    <row r="8">
      <c r="A8" s="29" t="n">
        <v>3</v>
      </c>
      <c r="B8" s="30" t="n"/>
      <c r="C8" s="30" t="n"/>
      <c r="D8" s="31" t="n"/>
      <c r="E8" s="32" t="n"/>
      <c r="F8" s="33" t="n"/>
      <c r="G8" s="33" t="n"/>
      <c r="H8" s="33" t="n"/>
      <c r="I8" s="34">
        <f>IF(OR(J8="G",J8="D"),0,IF(AND(F8="",G8=""),0,MAX(0,IFERROR(F8+0,0)+IFERROR(G8+0,0)-IFERROR(H8+0,0))))</f>
        <v/>
      </c>
      <c r="J8" s="35" t="n"/>
      <c r="K8" s="33" t="n"/>
      <c r="L8" s="33" t="n"/>
      <c r="M8" s="33" t="n"/>
      <c r="N8" s="34">
        <f>IF(OR(O8="G",O8="D"),0,IF(AND(K8="",L8=""),0,MAX(0,IFERROR(K8+0,0)+IFERROR(L8+0,0)-IFERROR(M8+0,0))))</f>
        <v/>
      </c>
      <c r="O8" s="35" t="n"/>
      <c r="P8" s="36">
        <f>IF(B8="","",IF(OR(J8="G",J8="D"),0,I8)+IF(OR(O8="G",O8="D"),0,N8))</f>
        <v/>
      </c>
      <c r="Q8" s="37">
        <f>IF(OR(B8="",P8=0),"-",RANK.EQ(P8,$P$6:$P$45,0))</f>
        <v/>
      </c>
      <c r="R8" s="35">
        <f>IF(OR(B8="",I8=0),"-",IF(OR(J8="G",J8="D"),IF(J8="G","G","D"),COUNTIF($I$6:$I$45,"&gt;"&amp;I8)+1))</f>
        <v/>
      </c>
      <c r="S8" s="35">
        <f>IF(OR(B8="",N8=0),"-",IF(OR(O8="G",O8="D"),IF(O8="G","G","D"),COUNTIF($N$6:$N$45,"&gt;"&amp;N8)+1))</f>
        <v/>
      </c>
    </row>
    <row r="9">
      <c r="A9" s="38" t="n">
        <v>4</v>
      </c>
      <c r="B9" s="39" t="n"/>
      <c r="C9" s="39" t="n"/>
      <c r="D9" s="40" t="n"/>
      <c r="E9" s="41" t="n"/>
      <c r="F9" s="42" t="n"/>
      <c r="G9" s="42" t="n"/>
      <c r="H9" s="42" t="n"/>
      <c r="I9" s="34">
        <f>IF(OR(J9="G",J9="D"),0,IF(AND(F9="",G9=""),0,MAX(0,IFERROR(F9+0,0)+IFERROR(G9+0,0)-IFERROR(H9+0,0))))</f>
        <v/>
      </c>
      <c r="J9" s="43" t="n"/>
      <c r="K9" s="42" t="n"/>
      <c r="L9" s="42" t="n"/>
      <c r="M9" s="42" t="n"/>
      <c r="N9" s="34">
        <f>IF(OR(O9="G",O9="D"),0,IF(AND(K9="",L9=""),0,MAX(0,IFERROR(K9+0,0)+IFERROR(L9+0,0)-IFERROR(M9+0,0))))</f>
        <v/>
      </c>
      <c r="O9" s="43" t="n"/>
      <c r="P9" s="36">
        <f>IF(B9="","",IF(OR(J9="G",J9="D"),0,I9)+IF(OR(O9="G",O9="D"),0,N9))</f>
        <v/>
      </c>
      <c r="Q9" s="37">
        <f>IF(OR(B9="",P9=0),"-",RANK.EQ(P9,$P$6:$P$45,0))</f>
        <v/>
      </c>
      <c r="R9" s="43">
        <f>IF(OR(B9="",I9=0),"-",IF(OR(J9="G",J9="D"),IF(J9="G","G","D"),COUNTIF($I$6:$I$45,"&gt;"&amp;I9)+1))</f>
        <v/>
      </c>
      <c r="S9" s="43">
        <f>IF(OR(B9="",N9=0),"-",IF(OR(O9="G",O9="D"),IF(O9="G","G","D"),COUNTIF($N$6:$N$45,"&gt;"&amp;N9)+1))</f>
        <v/>
      </c>
    </row>
    <row r="10">
      <c r="A10" s="29" t="n">
        <v>5</v>
      </c>
      <c r="B10" s="30" t="n"/>
      <c r="C10" s="30" t="n"/>
      <c r="D10" s="31" t="n"/>
      <c r="E10" s="32" t="n"/>
      <c r="F10" s="33" t="n"/>
      <c r="G10" s="33" t="n"/>
      <c r="H10" s="33" t="n"/>
      <c r="I10" s="34">
        <f>IF(OR(J10="G",J10="D"),0,IF(AND(F10="",G10=""),0,MAX(0,IFERROR(F10+0,0)+IFERROR(G10+0,0)-IFERROR(H10+0,0))))</f>
        <v/>
      </c>
      <c r="J10" s="35" t="n"/>
      <c r="K10" s="33" t="n"/>
      <c r="L10" s="33" t="n"/>
      <c r="M10" s="33" t="n"/>
      <c r="N10" s="34">
        <f>IF(OR(O10="G",O10="D"),0,IF(AND(K10="",L10=""),0,MAX(0,IFERROR(K10+0,0)+IFERROR(L10+0,0)-IFERROR(M10+0,0))))</f>
        <v/>
      </c>
      <c r="O10" s="35" t="n"/>
      <c r="P10" s="36">
        <f>IF(B10="","",IF(OR(J10="G",J10="D"),0,I10)+IF(OR(O10="G",O10="D"),0,N10))</f>
        <v/>
      </c>
      <c r="Q10" s="37">
        <f>IF(OR(B10="",P10=0),"-",RANK.EQ(P10,$P$6:$P$45,0))</f>
        <v/>
      </c>
      <c r="R10" s="35">
        <f>IF(OR(B10="",I10=0),"-",IF(OR(J10="G",J10="D"),IF(J10="G","G","D"),COUNTIF($I$6:$I$45,"&gt;"&amp;I10)+1))</f>
        <v/>
      </c>
      <c r="S10" s="35">
        <f>IF(OR(B10="",N10=0),"-",IF(OR(O10="G",O10="D"),IF(O10="G","G","D"),COUNTIF($N$6:$N$45,"&gt;"&amp;N10)+1))</f>
        <v/>
      </c>
    </row>
    <row r="11">
      <c r="A11" s="38" t="n">
        <v>6</v>
      </c>
      <c r="B11" s="39" t="n"/>
      <c r="C11" s="39" t="n"/>
      <c r="D11" s="40" t="n"/>
      <c r="E11" s="41" t="n"/>
      <c r="F11" s="42" t="n"/>
      <c r="G11" s="42" t="n"/>
      <c r="H11" s="42" t="n"/>
      <c r="I11" s="34">
        <f>IF(OR(J11="G",J11="D"),0,IF(AND(F11="",G11=""),0,MAX(0,IFERROR(F11+0,0)+IFERROR(G11+0,0)-IFERROR(H11+0,0))))</f>
        <v/>
      </c>
      <c r="J11" s="43" t="n"/>
      <c r="K11" s="42" t="n"/>
      <c r="L11" s="42" t="n"/>
      <c r="M11" s="42" t="n"/>
      <c r="N11" s="34">
        <f>IF(OR(O11="G",O11="D"),0,IF(AND(K11="",L11=""),0,MAX(0,IFERROR(K11+0,0)+IFERROR(L11+0,0)-IFERROR(M11+0,0))))</f>
        <v/>
      </c>
      <c r="O11" s="43" t="n"/>
      <c r="P11" s="36">
        <f>IF(B11="","",IF(OR(J11="G",J11="D"),0,I11)+IF(OR(O11="G",O11="D"),0,N11))</f>
        <v/>
      </c>
      <c r="Q11" s="37">
        <f>IF(OR(B11="",P11=0),"-",RANK.EQ(P11,$P$6:$P$45,0))</f>
        <v/>
      </c>
      <c r="R11" s="43">
        <f>IF(OR(B11="",I11=0),"-",IF(OR(J11="G",J11="D"),IF(J11="G","G","D"),COUNTIF($I$6:$I$45,"&gt;"&amp;I11)+1))</f>
        <v/>
      </c>
      <c r="S11" s="43">
        <f>IF(OR(B11="",N11=0),"-",IF(OR(O11="G",O11="D"),IF(O11="G","G","D"),COUNTIF($N$6:$N$45,"&gt;"&amp;N11)+1))</f>
        <v/>
      </c>
    </row>
    <row r="12">
      <c r="A12" s="29" t="n">
        <v>7</v>
      </c>
      <c r="B12" s="30" t="n"/>
      <c r="C12" s="30" t="n"/>
      <c r="D12" s="31" t="n"/>
      <c r="E12" s="32" t="n"/>
      <c r="F12" s="33" t="n"/>
      <c r="G12" s="33" t="n"/>
      <c r="H12" s="33" t="n"/>
      <c r="I12" s="34">
        <f>IF(OR(J12="G",J12="D"),0,IF(AND(F12="",G12=""),0,MAX(0,IFERROR(F12+0,0)+IFERROR(G12+0,0)-IFERROR(H12+0,0))))</f>
        <v/>
      </c>
      <c r="J12" s="35" t="n"/>
      <c r="K12" s="33" t="n"/>
      <c r="L12" s="33" t="n"/>
      <c r="M12" s="33" t="n"/>
      <c r="N12" s="34">
        <f>IF(OR(O12="G",O12="D"),0,IF(AND(K12="",L12=""),0,MAX(0,IFERROR(K12+0,0)+IFERROR(L12+0,0)-IFERROR(M12+0,0))))</f>
        <v/>
      </c>
      <c r="O12" s="35" t="n"/>
      <c r="P12" s="36">
        <f>IF(B12="","",IF(OR(J12="G",J12="D"),0,I12)+IF(OR(O12="G",O12="D"),0,N12))</f>
        <v/>
      </c>
      <c r="Q12" s="37">
        <f>IF(OR(B12="",P12=0),"-",RANK.EQ(P12,$P$6:$P$45,0))</f>
        <v/>
      </c>
      <c r="R12" s="35">
        <f>IF(OR(B12="",I12=0),"-",IF(OR(J12="G",J12="D"),IF(J12="G","G","D"),COUNTIF($I$6:$I$45,"&gt;"&amp;I12)+1))</f>
        <v/>
      </c>
      <c r="S12" s="35">
        <f>IF(OR(B12="",N12=0),"-",IF(OR(O12="G",O12="D"),IF(O12="G","G","D"),COUNTIF($N$6:$N$45,"&gt;"&amp;N12)+1))</f>
        <v/>
      </c>
    </row>
    <row r="13">
      <c r="A13" s="38" t="n">
        <v>8</v>
      </c>
      <c r="B13" s="39" t="n"/>
      <c r="C13" s="39" t="n"/>
      <c r="D13" s="40" t="n"/>
      <c r="E13" s="41" t="n"/>
      <c r="F13" s="42" t="n"/>
      <c r="G13" s="42" t="n"/>
      <c r="H13" s="42" t="n"/>
      <c r="I13" s="34">
        <f>IF(OR(J13="G",J13="D"),0,IF(AND(F13="",G13=""),0,MAX(0,IFERROR(F13+0,0)+IFERROR(G13+0,0)-IFERROR(H13+0,0))))</f>
        <v/>
      </c>
      <c r="J13" s="43" t="n"/>
      <c r="K13" s="42" t="n"/>
      <c r="L13" s="42" t="n"/>
      <c r="M13" s="42" t="n"/>
      <c r="N13" s="34">
        <f>IF(OR(O13="G",O13="D"),0,IF(AND(K13="",L13=""),0,MAX(0,IFERROR(K13+0,0)+IFERROR(L13+0,0)-IFERROR(M13+0,0))))</f>
        <v/>
      </c>
      <c r="O13" s="43" t="n"/>
      <c r="P13" s="36">
        <f>IF(B13="","",IF(OR(J13="G",J13="D"),0,I13)+IF(OR(O13="G",O13="D"),0,N13))</f>
        <v/>
      </c>
      <c r="Q13" s="37">
        <f>IF(OR(B13="",P13=0),"-",RANK.EQ(P13,$P$6:$P$45,0))</f>
        <v/>
      </c>
      <c r="R13" s="43">
        <f>IF(OR(B13="",I13=0),"-",IF(OR(J13="G",J13="D"),IF(J13="G","G","D"),COUNTIF($I$6:$I$45,"&gt;"&amp;I13)+1))</f>
        <v/>
      </c>
      <c r="S13" s="43">
        <f>IF(OR(B13="",N13=0),"-",IF(OR(O13="G",O13="D"),IF(O13="G","G","D"),COUNTIF($N$6:$N$45,"&gt;"&amp;N13)+1))</f>
        <v/>
      </c>
    </row>
    <row r="14">
      <c r="A14" s="29" t="n">
        <v>9</v>
      </c>
      <c r="B14" s="30" t="n"/>
      <c r="C14" s="30" t="n"/>
      <c r="D14" s="31" t="n"/>
      <c r="E14" s="32" t="n"/>
      <c r="F14" s="33" t="n"/>
      <c r="G14" s="33" t="n"/>
      <c r="H14" s="33" t="n"/>
      <c r="I14" s="34">
        <f>IF(OR(J14="G",J14="D"),0,IF(AND(F14="",G14=""),0,MAX(0,IFERROR(F14+0,0)+IFERROR(G14+0,0)-IFERROR(H14+0,0))))</f>
        <v/>
      </c>
      <c r="J14" s="35" t="n"/>
      <c r="K14" s="33" t="n"/>
      <c r="L14" s="33" t="n"/>
      <c r="M14" s="33" t="n"/>
      <c r="N14" s="34">
        <f>IF(OR(O14="G",O14="D"),0,IF(AND(K14="",L14=""),0,MAX(0,IFERROR(K14+0,0)+IFERROR(L14+0,0)-IFERROR(M14+0,0))))</f>
        <v/>
      </c>
      <c r="O14" s="35" t="n"/>
      <c r="P14" s="36">
        <f>IF(B14="","",IF(OR(J14="G",J14="D"),0,I14)+IF(OR(O14="G",O14="D"),0,N14))</f>
        <v/>
      </c>
      <c r="Q14" s="37">
        <f>IF(OR(B14="",P14=0),"-",RANK.EQ(P14,$P$6:$P$45,0))</f>
        <v/>
      </c>
      <c r="R14" s="35">
        <f>IF(OR(B14="",I14=0),"-",IF(OR(J14="G",J14="D"),IF(J14="G","G","D"),COUNTIF($I$6:$I$45,"&gt;"&amp;I14)+1))</f>
        <v/>
      </c>
      <c r="S14" s="35">
        <f>IF(OR(B14="",N14=0),"-",IF(OR(O14="G",O14="D"),IF(O14="G","G","D"),COUNTIF($N$6:$N$45,"&gt;"&amp;N14)+1))</f>
        <v/>
      </c>
    </row>
    <row r="15">
      <c r="A15" s="38" t="n">
        <v>10</v>
      </c>
      <c r="B15" s="39" t="n"/>
      <c r="C15" s="39" t="n"/>
      <c r="D15" s="40" t="n"/>
      <c r="E15" s="41" t="n"/>
      <c r="F15" s="42" t="n"/>
      <c r="G15" s="42" t="n"/>
      <c r="H15" s="42" t="n"/>
      <c r="I15" s="34">
        <f>IF(OR(J15="G",J15="D"),0,IF(AND(F15="",G15=""),0,MAX(0,IFERROR(F15+0,0)+IFERROR(G15+0,0)-IFERROR(H15+0,0))))</f>
        <v/>
      </c>
      <c r="J15" s="43" t="n"/>
      <c r="K15" s="42" t="n"/>
      <c r="L15" s="42" t="n"/>
      <c r="M15" s="42" t="n"/>
      <c r="N15" s="34">
        <f>IF(OR(O15="G",O15="D"),0,IF(AND(K15="",L15=""),0,MAX(0,IFERROR(K15+0,0)+IFERROR(L15+0,0)-IFERROR(M15+0,0))))</f>
        <v/>
      </c>
      <c r="O15" s="43" t="n"/>
      <c r="P15" s="36">
        <f>IF(B15="","",IF(OR(J15="G",J15="D"),0,I15)+IF(OR(O15="G",O15="D"),0,N15))</f>
        <v/>
      </c>
      <c r="Q15" s="37">
        <f>IF(OR(B15="",P15=0),"-",RANK.EQ(P15,$P$6:$P$45,0))</f>
        <v/>
      </c>
      <c r="R15" s="43">
        <f>IF(OR(B15="",I15=0),"-",IF(OR(J15="G",J15="D"),IF(J15="G","G","D"),COUNTIF($I$6:$I$45,"&gt;"&amp;I15)+1))</f>
        <v/>
      </c>
      <c r="S15" s="43">
        <f>IF(OR(B15="",N15=0),"-",IF(OR(O15="G",O15="D"),IF(O15="G","G","D"),COUNTIF($N$6:$N$45,"&gt;"&amp;N15)+1))</f>
        <v/>
      </c>
    </row>
    <row r="16">
      <c r="A16" s="29" t="n">
        <v>11</v>
      </c>
      <c r="B16" s="30" t="n"/>
      <c r="C16" s="30" t="n"/>
      <c r="D16" s="31" t="n"/>
      <c r="E16" s="32" t="n"/>
      <c r="F16" s="33" t="n"/>
      <c r="G16" s="33" t="n"/>
      <c r="H16" s="33" t="n"/>
      <c r="I16" s="34">
        <f>IF(OR(J16="G",J16="D"),0,IF(AND(F16="",G16=""),0,MAX(0,IFERROR(F16+0,0)+IFERROR(G16+0,0)-IFERROR(H16+0,0))))</f>
        <v/>
      </c>
      <c r="J16" s="35" t="n"/>
      <c r="K16" s="33" t="n"/>
      <c r="L16" s="33" t="n"/>
      <c r="M16" s="33" t="n"/>
      <c r="N16" s="34">
        <f>IF(OR(O16="G",O16="D"),0,IF(AND(K16="",L16=""),0,MAX(0,IFERROR(K16+0,0)+IFERROR(L16+0,0)-IFERROR(M16+0,0))))</f>
        <v/>
      </c>
      <c r="O16" s="35" t="n"/>
      <c r="P16" s="36">
        <f>IF(B16="","",IF(OR(J16="G",J16="D"),0,I16)+IF(OR(O16="G",O16="D"),0,N16))</f>
        <v/>
      </c>
      <c r="Q16" s="37">
        <f>IF(OR(B16="",P16=0),"-",RANK.EQ(P16,$P$6:$P$45,0))</f>
        <v/>
      </c>
      <c r="R16" s="35">
        <f>IF(OR(B16="",I16=0),"-",IF(OR(J16="G",J16="D"),IF(J16="G","G","D"),COUNTIF($I$6:$I$45,"&gt;"&amp;I16)+1))</f>
        <v/>
      </c>
      <c r="S16" s="35">
        <f>IF(OR(B16="",N16=0),"-",IF(OR(O16="G",O16="D"),IF(O16="G","G","D"),COUNTIF($N$6:$N$45,"&gt;"&amp;N16)+1))</f>
        <v/>
      </c>
    </row>
    <row r="17">
      <c r="A17" s="38" t="n">
        <v>12</v>
      </c>
      <c r="B17" s="39" t="n"/>
      <c r="C17" s="39" t="n"/>
      <c r="D17" s="40" t="n"/>
      <c r="E17" s="41" t="n"/>
      <c r="F17" s="42" t="n"/>
      <c r="G17" s="42" t="n"/>
      <c r="H17" s="42" t="n"/>
      <c r="I17" s="34">
        <f>IF(OR(J17="G",J17="D"),0,IF(AND(F17="",G17=""),0,MAX(0,IFERROR(F17+0,0)+IFERROR(G17+0,0)-IFERROR(H17+0,0))))</f>
        <v/>
      </c>
      <c r="J17" s="43" t="n"/>
      <c r="K17" s="42" t="n"/>
      <c r="L17" s="42" t="n"/>
      <c r="M17" s="42" t="n"/>
      <c r="N17" s="34">
        <f>IF(OR(O17="G",O17="D"),0,IF(AND(K17="",L17=""),0,MAX(0,IFERROR(K17+0,0)+IFERROR(L17+0,0)-IFERROR(M17+0,0))))</f>
        <v/>
      </c>
      <c r="O17" s="43" t="n"/>
      <c r="P17" s="36">
        <f>IF(B17="","",IF(OR(J17="G",J17="D"),0,I17)+IF(OR(O17="G",O17="D"),0,N17))</f>
        <v/>
      </c>
      <c r="Q17" s="37">
        <f>IF(OR(B17="",P17=0),"-",RANK.EQ(P17,$P$6:$P$45,0))</f>
        <v/>
      </c>
      <c r="R17" s="43">
        <f>IF(OR(B17="",I17=0),"-",IF(OR(J17="G",J17="D"),IF(J17="G","G","D"),COUNTIF($I$6:$I$45,"&gt;"&amp;I17)+1))</f>
        <v/>
      </c>
      <c r="S17" s="43">
        <f>IF(OR(B17="",N17=0),"-",IF(OR(O17="G",O17="D"),IF(O17="G","G","D"),COUNTIF($N$6:$N$45,"&gt;"&amp;N17)+1))</f>
        <v/>
      </c>
    </row>
    <row r="18">
      <c r="A18" s="29" t="n">
        <v>13</v>
      </c>
      <c r="B18" s="30" t="n"/>
      <c r="C18" s="30" t="n"/>
      <c r="D18" s="31" t="n"/>
      <c r="E18" s="32" t="n"/>
      <c r="F18" s="33" t="n"/>
      <c r="G18" s="33" t="n"/>
      <c r="H18" s="33" t="n"/>
      <c r="I18" s="34">
        <f>IF(OR(J18="G",J18="D"),0,IF(AND(F18="",G18=""),0,MAX(0,IFERROR(F18+0,0)+IFERROR(G18+0,0)-IFERROR(H18+0,0))))</f>
        <v/>
      </c>
      <c r="J18" s="35" t="n"/>
      <c r="K18" s="33" t="n"/>
      <c r="L18" s="33" t="n"/>
      <c r="M18" s="33" t="n"/>
      <c r="N18" s="34">
        <f>IF(OR(O18="G",O18="D"),0,IF(AND(K18="",L18=""),0,MAX(0,IFERROR(K18+0,0)+IFERROR(L18+0,0)-IFERROR(M18+0,0))))</f>
        <v/>
      </c>
      <c r="O18" s="35" t="n"/>
      <c r="P18" s="36">
        <f>IF(B18="","",IF(OR(J18="G",J18="D"),0,I18)+IF(OR(O18="G",O18="D"),0,N18))</f>
        <v/>
      </c>
      <c r="Q18" s="37">
        <f>IF(OR(B18="",P18=0),"-",RANK.EQ(P18,$P$6:$P$45,0))</f>
        <v/>
      </c>
      <c r="R18" s="35">
        <f>IF(OR(B18="",I18=0),"-",IF(OR(J18="G",J18="D"),IF(J18="G","G","D"),COUNTIF($I$6:$I$45,"&gt;"&amp;I18)+1))</f>
        <v/>
      </c>
      <c r="S18" s="35">
        <f>IF(OR(B18="",N18=0),"-",IF(OR(O18="G",O18="D"),IF(O18="G","G","D"),COUNTIF($N$6:$N$45,"&gt;"&amp;N18)+1))</f>
        <v/>
      </c>
    </row>
    <row r="19">
      <c r="A19" s="38" t="n">
        <v>14</v>
      </c>
      <c r="B19" s="39" t="n"/>
      <c r="C19" s="39" t="n"/>
      <c r="D19" s="40" t="n"/>
      <c r="E19" s="41" t="n"/>
      <c r="F19" s="42" t="n"/>
      <c r="G19" s="42" t="n"/>
      <c r="H19" s="42" t="n"/>
      <c r="I19" s="34">
        <f>IF(OR(J19="G",J19="D"),0,IF(AND(F19="",G19=""),0,MAX(0,IFERROR(F19+0,0)+IFERROR(G19+0,0)-IFERROR(H19+0,0))))</f>
        <v/>
      </c>
      <c r="J19" s="43" t="n"/>
      <c r="K19" s="42" t="n"/>
      <c r="L19" s="42" t="n"/>
      <c r="M19" s="42" t="n"/>
      <c r="N19" s="34">
        <f>IF(OR(O19="G",O19="D"),0,IF(AND(K19="",L19=""),0,MAX(0,IFERROR(K19+0,0)+IFERROR(L19+0,0)-IFERROR(M19+0,0))))</f>
        <v/>
      </c>
      <c r="O19" s="43" t="n"/>
      <c r="P19" s="36">
        <f>IF(B19="","",IF(OR(J19="G",J19="D"),0,I19)+IF(OR(O19="G",O19="D"),0,N19))</f>
        <v/>
      </c>
      <c r="Q19" s="37">
        <f>IF(OR(B19="",P19=0),"-",RANK.EQ(P19,$P$6:$P$45,0))</f>
        <v/>
      </c>
      <c r="R19" s="43">
        <f>IF(OR(B19="",I19=0),"-",IF(OR(J19="G",J19="D"),IF(J19="G","G","D"),COUNTIF($I$6:$I$45,"&gt;"&amp;I19)+1))</f>
        <v/>
      </c>
      <c r="S19" s="43">
        <f>IF(OR(B19="",N19=0),"-",IF(OR(O19="G",O19="D"),IF(O19="G","G","D"),COUNTIF($N$6:$N$45,"&gt;"&amp;N19)+1))</f>
        <v/>
      </c>
    </row>
    <row r="20">
      <c r="A20" s="29" t="n">
        <v>15</v>
      </c>
      <c r="B20" s="30" t="n"/>
      <c r="C20" s="30" t="n"/>
      <c r="D20" s="31" t="n"/>
      <c r="E20" s="32" t="n"/>
      <c r="F20" s="33" t="n"/>
      <c r="G20" s="33" t="n"/>
      <c r="H20" s="33" t="n"/>
      <c r="I20" s="34">
        <f>IF(OR(J20="G",J20="D"),0,IF(AND(F20="",G20=""),0,MAX(0,IFERROR(F20+0,0)+IFERROR(G20+0,0)-IFERROR(H20+0,0))))</f>
        <v/>
      </c>
      <c r="J20" s="35" t="n"/>
      <c r="K20" s="33" t="n"/>
      <c r="L20" s="33" t="n"/>
      <c r="M20" s="33" t="n"/>
      <c r="N20" s="34">
        <f>IF(OR(O20="G",O20="D"),0,IF(AND(K20="",L20=""),0,MAX(0,IFERROR(K20+0,0)+IFERROR(L20+0,0)-IFERROR(M20+0,0))))</f>
        <v/>
      </c>
      <c r="O20" s="35" t="n"/>
      <c r="P20" s="36">
        <f>IF(B20="","",IF(OR(J20="G",J20="D"),0,I20)+IF(OR(O20="G",O20="D"),0,N20))</f>
        <v/>
      </c>
      <c r="Q20" s="37">
        <f>IF(OR(B20="",P20=0),"-",RANK.EQ(P20,$P$6:$P$45,0))</f>
        <v/>
      </c>
      <c r="R20" s="35">
        <f>IF(OR(B20="",I20=0),"-",IF(OR(J20="G",J20="D"),IF(J20="G","G","D"),COUNTIF($I$6:$I$45,"&gt;"&amp;I20)+1))</f>
        <v/>
      </c>
      <c r="S20" s="35">
        <f>IF(OR(B20="",N20=0),"-",IF(OR(O20="G",O20="D"),IF(O20="G","G","D"),COUNTIF($N$6:$N$45,"&gt;"&amp;N20)+1))</f>
        <v/>
      </c>
    </row>
    <row r="21">
      <c r="A21" s="38" t="n">
        <v>16</v>
      </c>
      <c r="B21" s="39" t="n"/>
      <c r="C21" s="39" t="n"/>
      <c r="D21" s="40" t="n"/>
      <c r="E21" s="41" t="n"/>
      <c r="F21" s="42" t="n"/>
      <c r="G21" s="42" t="n"/>
      <c r="H21" s="42" t="n"/>
      <c r="I21" s="34">
        <f>IF(OR(J21="G",J21="D"),0,IF(AND(F21="",G21=""),0,MAX(0,IFERROR(F21+0,0)+IFERROR(G21+0,0)-IFERROR(H21+0,0))))</f>
        <v/>
      </c>
      <c r="J21" s="43" t="n"/>
      <c r="K21" s="42" t="n"/>
      <c r="L21" s="42" t="n"/>
      <c r="M21" s="42" t="n"/>
      <c r="N21" s="34">
        <f>IF(OR(O21="G",O21="D"),0,IF(AND(K21="",L21=""),0,MAX(0,IFERROR(K21+0,0)+IFERROR(L21+0,0)-IFERROR(M21+0,0))))</f>
        <v/>
      </c>
      <c r="O21" s="43" t="n"/>
      <c r="P21" s="36">
        <f>IF(B21="","",IF(OR(J21="G",J21="D"),0,I21)+IF(OR(O21="G",O21="D"),0,N21))</f>
        <v/>
      </c>
      <c r="Q21" s="37">
        <f>IF(OR(B21="",P21=0),"-",RANK.EQ(P21,$P$6:$P$45,0))</f>
        <v/>
      </c>
      <c r="R21" s="43">
        <f>IF(OR(B21="",I21=0),"-",IF(OR(J21="G",J21="D"),IF(J21="G","G","D"),COUNTIF($I$6:$I$45,"&gt;"&amp;I21)+1))</f>
        <v/>
      </c>
      <c r="S21" s="43">
        <f>IF(OR(B21="",N21=0),"-",IF(OR(O21="G",O21="D"),IF(O21="G","G","D"),COUNTIF($N$6:$N$45,"&gt;"&amp;N21)+1))</f>
        <v/>
      </c>
    </row>
    <row r="22">
      <c r="A22" s="29" t="n">
        <v>17</v>
      </c>
      <c r="B22" s="30" t="n"/>
      <c r="C22" s="30" t="n"/>
      <c r="D22" s="31" t="n"/>
      <c r="E22" s="32" t="n"/>
      <c r="F22" s="33" t="n"/>
      <c r="G22" s="33" t="n"/>
      <c r="H22" s="33" t="n"/>
      <c r="I22" s="34">
        <f>IF(OR(J22="G",J22="D"),0,IF(AND(F22="",G22=""),0,MAX(0,IFERROR(F22+0,0)+IFERROR(G22+0,0)-IFERROR(H22+0,0))))</f>
        <v/>
      </c>
      <c r="J22" s="35" t="n"/>
      <c r="K22" s="33" t="n"/>
      <c r="L22" s="33" t="n"/>
      <c r="M22" s="33" t="n"/>
      <c r="N22" s="34">
        <f>IF(OR(O22="G",O22="D"),0,IF(AND(K22="",L22=""),0,MAX(0,IFERROR(K22+0,0)+IFERROR(L22+0,0)-IFERROR(M22+0,0))))</f>
        <v/>
      </c>
      <c r="O22" s="35" t="n"/>
      <c r="P22" s="36">
        <f>IF(B22="","",IF(OR(J22="G",J22="D"),0,I22)+IF(OR(O22="G",O22="D"),0,N22))</f>
        <v/>
      </c>
      <c r="Q22" s="37">
        <f>IF(OR(B22="",P22=0),"-",RANK.EQ(P22,$P$6:$P$45,0))</f>
        <v/>
      </c>
      <c r="R22" s="35">
        <f>IF(OR(B22="",I22=0),"-",IF(OR(J22="G",J22="D"),IF(J22="G","G","D"),COUNTIF($I$6:$I$45,"&gt;"&amp;I22)+1))</f>
        <v/>
      </c>
      <c r="S22" s="35">
        <f>IF(OR(B22="",N22=0),"-",IF(OR(O22="G",O22="D"),IF(O22="G","G","D"),COUNTIF($N$6:$N$45,"&gt;"&amp;N22)+1))</f>
        <v/>
      </c>
    </row>
    <row r="23">
      <c r="A23" s="38" t="n">
        <v>18</v>
      </c>
      <c r="B23" s="39" t="n"/>
      <c r="C23" s="39" t="n"/>
      <c r="D23" s="40" t="n"/>
      <c r="E23" s="41" t="n"/>
      <c r="F23" s="42" t="n"/>
      <c r="G23" s="42" t="n"/>
      <c r="H23" s="42" t="n"/>
      <c r="I23" s="34">
        <f>IF(OR(J23="G",J23="D"),0,IF(AND(F23="",G23=""),0,MAX(0,IFERROR(F23+0,0)+IFERROR(G23+0,0)-IFERROR(H23+0,0))))</f>
        <v/>
      </c>
      <c r="J23" s="43" t="n"/>
      <c r="K23" s="42" t="n"/>
      <c r="L23" s="42" t="n"/>
      <c r="M23" s="42" t="n"/>
      <c r="N23" s="34">
        <f>IF(OR(O23="G",O23="D"),0,IF(AND(K23="",L23=""),0,MAX(0,IFERROR(K23+0,0)+IFERROR(L23+0,0)-IFERROR(M23+0,0))))</f>
        <v/>
      </c>
      <c r="O23" s="43" t="n"/>
      <c r="P23" s="36">
        <f>IF(B23="","",IF(OR(J23="G",J23="D"),0,I23)+IF(OR(O23="G",O23="D"),0,N23))</f>
        <v/>
      </c>
      <c r="Q23" s="37">
        <f>IF(OR(B23="",P23=0),"-",RANK.EQ(P23,$P$6:$P$45,0))</f>
        <v/>
      </c>
      <c r="R23" s="43">
        <f>IF(OR(B23="",I23=0),"-",IF(OR(J23="G",J23="D"),IF(J23="G","G","D"),COUNTIF($I$6:$I$45,"&gt;"&amp;I23)+1))</f>
        <v/>
      </c>
      <c r="S23" s="43">
        <f>IF(OR(B23="",N23=0),"-",IF(OR(O23="G",O23="D"),IF(O23="G","G","D"),COUNTIF($N$6:$N$45,"&gt;"&amp;N23)+1))</f>
        <v/>
      </c>
    </row>
    <row r="24">
      <c r="A24" s="29" t="n">
        <v>19</v>
      </c>
      <c r="B24" s="30" t="n"/>
      <c r="C24" s="30" t="n"/>
      <c r="D24" s="31" t="n"/>
      <c r="E24" s="32" t="n"/>
      <c r="F24" s="33" t="n"/>
      <c r="G24" s="33" t="n"/>
      <c r="H24" s="33" t="n"/>
      <c r="I24" s="34">
        <f>IF(OR(J24="G",J24="D"),0,IF(AND(F24="",G24=""),0,MAX(0,IFERROR(F24+0,0)+IFERROR(G24+0,0)-IFERROR(H24+0,0))))</f>
        <v/>
      </c>
      <c r="J24" s="35" t="n"/>
      <c r="K24" s="33" t="n"/>
      <c r="L24" s="33" t="n"/>
      <c r="M24" s="33" t="n"/>
      <c r="N24" s="34">
        <f>IF(OR(O24="G",O24="D"),0,IF(AND(K24="",L24=""),0,MAX(0,IFERROR(K24+0,0)+IFERROR(L24+0,0)-IFERROR(M24+0,0))))</f>
        <v/>
      </c>
      <c r="O24" s="35" t="n"/>
      <c r="P24" s="36">
        <f>IF(B24="","",IF(OR(J24="G",J24="D"),0,I24)+IF(OR(O24="G",O24="D"),0,N24))</f>
        <v/>
      </c>
      <c r="Q24" s="37">
        <f>IF(OR(B24="",P24=0),"-",RANK.EQ(P24,$P$6:$P$45,0))</f>
        <v/>
      </c>
      <c r="R24" s="35">
        <f>IF(OR(B24="",I24=0),"-",IF(OR(J24="G",J24="D"),IF(J24="G","G","D"),COUNTIF($I$6:$I$45,"&gt;"&amp;I24)+1))</f>
        <v/>
      </c>
      <c r="S24" s="35">
        <f>IF(OR(B24="",N24=0),"-",IF(OR(O24="G",O24="D"),IF(O24="G","G","D"),COUNTIF($N$6:$N$45,"&gt;"&amp;N24)+1))</f>
        <v/>
      </c>
    </row>
    <row r="25">
      <c r="A25" s="38" t="n">
        <v>20</v>
      </c>
      <c r="B25" s="39" t="n"/>
      <c r="C25" s="39" t="n"/>
      <c r="D25" s="40" t="n"/>
      <c r="E25" s="41" t="n"/>
      <c r="F25" s="42" t="n"/>
      <c r="G25" s="42" t="n"/>
      <c r="H25" s="42" t="n"/>
      <c r="I25" s="34">
        <f>IF(OR(J25="G",J25="D"),0,IF(AND(F25="",G25=""),0,MAX(0,IFERROR(F25+0,0)+IFERROR(G25+0,0)-IFERROR(H25+0,0))))</f>
        <v/>
      </c>
      <c r="J25" s="43" t="n"/>
      <c r="K25" s="42" t="n"/>
      <c r="L25" s="42" t="n"/>
      <c r="M25" s="42" t="n"/>
      <c r="N25" s="34">
        <f>IF(OR(O25="G",O25="D"),0,IF(AND(K25="",L25=""),0,MAX(0,IFERROR(K25+0,0)+IFERROR(L25+0,0)-IFERROR(M25+0,0))))</f>
        <v/>
      </c>
      <c r="O25" s="43" t="n"/>
      <c r="P25" s="36">
        <f>IF(B25="","",IF(OR(J25="G",J25="D"),0,I25)+IF(OR(O25="G",O25="D"),0,N25))</f>
        <v/>
      </c>
      <c r="Q25" s="37">
        <f>IF(OR(B25="",P25=0),"-",RANK.EQ(P25,$P$6:$P$45,0))</f>
        <v/>
      </c>
      <c r="R25" s="43">
        <f>IF(OR(B25="",I25=0),"-",IF(OR(J25="G",J25="D"),IF(J25="G","G","D"),COUNTIF($I$6:$I$45,"&gt;"&amp;I25)+1))</f>
        <v/>
      </c>
      <c r="S25" s="43">
        <f>IF(OR(B25="",N25=0),"-",IF(OR(O25="G",O25="D"),IF(O25="G","G","D"),COUNTIF($N$6:$N$45,"&gt;"&amp;N25)+1))</f>
        <v/>
      </c>
    </row>
    <row r="26">
      <c r="A26" s="29" t="n">
        <v>21</v>
      </c>
      <c r="B26" s="30" t="n"/>
      <c r="C26" s="30" t="n"/>
      <c r="D26" s="31" t="n"/>
      <c r="E26" s="32" t="n"/>
      <c r="F26" s="33" t="n"/>
      <c r="G26" s="33" t="n"/>
      <c r="H26" s="33" t="n"/>
      <c r="I26" s="34">
        <f>IF(OR(J26="G",J26="D"),0,IF(AND(F26="",G26=""),0,MAX(0,IFERROR(F26+0,0)+IFERROR(G26+0,0)-IFERROR(H26+0,0))))</f>
        <v/>
      </c>
      <c r="J26" s="35" t="n"/>
      <c r="K26" s="33" t="n"/>
      <c r="L26" s="33" t="n"/>
      <c r="M26" s="33" t="n"/>
      <c r="N26" s="34">
        <f>IF(OR(O26="G",O26="D"),0,IF(AND(K26="",L26=""),0,MAX(0,IFERROR(K26+0,0)+IFERROR(L26+0,0)-IFERROR(M26+0,0))))</f>
        <v/>
      </c>
      <c r="O26" s="35" t="n"/>
      <c r="P26" s="36">
        <f>IF(B26="","",IF(OR(J26="G",J26="D"),0,I26)+IF(OR(O26="G",O26="D"),0,N26))</f>
        <v/>
      </c>
      <c r="Q26" s="37">
        <f>IF(OR(B26="",P26=0),"-",RANK.EQ(P26,$P$6:$P$45,0))</f>
        <v/>
      </c>
      <c r="R26" s="35">
        <f>IF(OR(B26="",I26=0),"-",IF(OR(J26="G",J26="D"),IF(J26="G","G","D"),COUNTIF($I$6:$I$45,"&gt;"&amp;I26)+1))</f>
        <v/>
      </c>
      <c r="S26" s="35">
        <f>IF(OR(B26="",N26=0),"-",IF(OR(O26="G",O26="D"),IF(O26="G","G","D"),COUNTIF($N$6:$N$45,"&gt;"&amp;N26)+1))</f>
        <v/>
      </c>
    </row>
    <row r="27">
      <c r="A27" s="38" t="n">
        <v>22</v>
      </c>
      <c r="B27" s="39" t="n"/>
      <c r="C27" s="39" t="n"/>
      <c r="D27" s="40" t="n"/>
      <c r="E27" s="41" t="n"/>
      <c r="F27" s="42" t="n"/>
      <c r="G27" s="42" t="n"/>
      <c r="H27" s="42" t="n"/>
      <c r="I27" s="34">
        <f>IF(OR(J27="G",J27="D"),0,IF(AND(F27="",G27=""),0,MAX(0,IFERROR(F27+0,0)+IFERROR(G27+0,0)-IFERROR(H27+0,0))))</f>
        <v/>
      </c>
      <c r="J27" s="43" t="n"/>
      <c r="K27" s="42" t="n"/>
      <c r="L27" s="42" t="n"/>
      <c r="M27" s="42" t="n"/>
      <c r="N27" s="34">
        <f>IF(OR(O27="G",O27="D"),0,IF(AND(K27="",L27=""),0,MAX(0,IFERROR(K27+0,0)+IFERROR(L27+0,0)-IFERROR(M27+0,0))))</f>
        <v/>
      </c>
      <c r="O27" s="43" t="n"/>
      <c r="P27" s="36">
        <f>IF(B27="","",IF(OR(J27="G",J27="D"),0,I27)+IF(OR(O27="G",O27="D"),0,N27))</f>
        <v/>
      </c>
      <c r="Q27" s="37">
        <f>IF(OR(B27="",P27=0),"-",RANK.EQ(P27,$P$6:$P$45,0))</f>
        <v/>
      </c>
      <c r="R27" s="43">
        <f>IF(OR(B27="",I27=0),"-",IF(OR(J27="G",J27="D"),IF(J27="G","G","D"),COUNTIF($I$6:$I$45,"&gt;"&amp;I27)+1))</f>
        <v/>
      </c>
      <c r="S27" s="43">
        <f>IF(OR(B27="",N27=0),"-",IF(OR(O27="G",O27="D"),IF(O27="G","G","D"),COUNTIF($N$6:$N$45,"&gt;"&amp;N27)+1))</f>
        <v/>
      </c>
    </row>
    <row r="28">
      <c r="A28" s="29" t="n">
        <v>23</v>
      </c>
      <c r="B28" s="30" t="n"/>
      <c r="C28" s="30" t="n"/>
      <c r="D28" s="31" t="n"/>
      <c r="E28" s="32" t="n"/>
      <c r="F28" s="33" t="n"/>
      <c r="G28" s="33" t="n"/>
      <c r="H28" s="33" t="n"/>
      <c r="I28" s="34">
        <f>IF(OR(J28="G",J28="D"),0,IF(AND(F28="",G28=""),0,MAX(0,IFERROR(F28+0,0)+IFERROR(G28+0,0)-IFERROR(H28+0,0))))</f>
        <v/>
      </c>
      <c r="J28" s="35" t="n"/>
      <c r="K28" s="33" t="n"/>
      <c r="L28" s="33" t="n"/>
      <c r="M28" s="33" t="n"/>
      <c r="N28" s="34">
        <f>IF(OR(O28="G",O28="D"),0,IF(AND(K28="",L28=""),0,MAX(0,IFERROR(K28+0,0)+IFERROR(L28+0,0)-IFERROR(M28+0,0))))</f>
        <v/>
      </c>
      <c r="O28" s="35" t="n"/>
      <c r="P28" s="36">
        <f>IF(B28="","",IF(OR(J28="G",J28="D"),0,I28)+IF(OR(O28="G",O28="D"),0,N28))</f>
        <v/>
      </c>
      <c r="Q28" s="37">
        <f>IF(OR(B28="",P28=0),"-",RANK.EQ(P28,$P$6:$P$45,0))</f>
        <v/>
      </c>
      <c r="R28" s="35">
        <f>IF(OR(B28="",I28=0),"-",IF(OR(J28="G",J28="D"),IF(J28="G","G","D"),COUNTIF($I$6:$I$45,"&gt;"&amp;I28)+1))</f>
        <v/>
      </c>
      <c r="S28" s="35">
        <f>IF(OR(B28="",N28=0),"-",IF(OR(O28="G",O28="D"),IF(O28="G","G","D"),COUNTIF($N$6:$N$45,"&gt;"&amp;N28)+1))</f>
        <v/>
      </c>
    </row>
    <row r="29">
      <c r="A29" s="38" t="n">
        <v>24</v>
      </c>
      <c r="B29" s="39" t="n"/>
      <c r="C29" s="39" t="n"/>
      <c r="D29" s="40" t="n"/>
      <c r="E29" s="41" t="n"/>
      <c r="F29" s="42" t="n"/>
      <c r="G29" s="42" t="n"/>
      <c r="H29" s="42" t="n"/>
      <c r="I29" s="34">
        <f>IF(OR(J29="G",J29="D"),0,IF(AND(F29="",G29=""),0,MAX(0,IFERROR(F29+0,0)+IFERROR(G29+0,0)-IFERROR(H29+0,0))))</f>
        <v/>
      </c>
      <c r="J29" s="43" t="n"/>
      <c r="K29" s="42" t="n"/>
      <c r="L29" s="42" t="n"/>
      <c r="M29" s="42" t="n"/>
      <c r="N29" s="34">
        <f>IF(OR(O29="G",O29="D"),0,IF(AND(K29="",L29=""),0,MAX(0,IFERROR(K29+0,0)+IFERROR(L29+0,0)-IFERROR(M29+0,0))))</f>
        <v/>
      </c>
      <c r="O29" s="43" t="n"/>
      <c r="P29" s="36">
        <f>IF(B29="","",IF(OR(J29="G",J29="D"),0,I29)+IF(OR(O29="G",O29="D"),0,N29))</f>
        <v/>
      </c>
      <c r="Q29" s="37">
        <f>IF(OR(B29="",P29=0),"-",RANK.EQ(P29,$P$6:$P$45,0))</f>
        <v/>
      </c>
      <c r="R29" s="43">
        <f>IF(OR(B29="",I29=0),"-",IF(OR(J29="G",J29="D"),IF(J29="G","G","D"),COUNTIF($I$6:$I$45,"&gt;"&amp;I29)+1))</f>
        <v/>
      </c>
      <c r="S29" s="43">
        <f>IF(OR(B29="",N29=0),"-",IF(OR(O29="G",O29="D"),IF(O29="G","G","D"),COUNTIF($N$6:$N$45,"&gt;"&amp;N29)+1))</f>
        <v/>
      </c>
    </row>
    <row r="30">
      <c r="A30" s="29" t="n">
        <v>25</v>
      </c>
      <c r="B30" s="30" t="n"/>
      <c r="C30" s="30" t="n"/>
      <c r="D30" s="31" t="n"/>
      <c r="E30" s="32" t="n"/>
      <c r="F30" s="33" t="n"/>
      <c r="G30" s="33" t="n"/>
      <c r="H30" s="33" t="n"/>
      <c r="I30" s="34">
        <f>IF(OR(J30="G",J30="D"),0,IF(AND(F30="",G30=""),0,MAX(0,IFERROR(F30+0,0)+IFERROR(G30+0,0)-IFERROR(H30+0,0))))</f>
        <v/>
      </c>
      <c r="J30" s="35" t="n"/>
      <c r="K30" s="33" t="n"/>
      <c r="L30" s="33" t="n"/>
      <c r="M30" s="33" t="n"/>
      <c r="N30" s="34">
        <f>IF(OR(O30="G",O30="D"),0,IF(AND(K30="",L30=""),0,MAX(0,IFERROR(K30+0,0)+IFERROR(L30+0,0)-IFERROR(M30+0,0))))</f>
        <v/>
      </c>
      <c r="O30" s="35" t="n"/>
      <c r="P30" s="36">
        <f>IF(B30="","",IF(OR(J30="G",J30="D"),0,I30)+IF(OR(O30="G",O30="D"),0,N30))</f>
        <v/>
      </c>
      <c r="Q30" s="37">
        <f>IF(OR(B30="",P30=0),"-",RANK.EQ(P30,$P$6:$P$45,0))</f>
        <v/>
      </c>
      <c r="R30" s="35">
        <f>IF(OR(B30="",I30=0),"-",IF(OR(J30="G",J30="D"),IF(J30="G","G","D"),COUNTIF($I$6:$I$45,"&gt;"&amp;I30)+1))</f>
        <v/>
      </c>
      <c r="S30" s="35">
        <f>IF(OR(B30="",N30=0),"-",IF(OR(O30="G",O30="D"),IF(O30="G","G","D"),COUNTIF($N$6:$N$45,"&gt;"&amp;N30)+1))</f>
        <v/>
      </c>
    </row>
    <row r="31">
      <c r="A31" s="38" t="n">
        <v>26</v>
      </c>
      <c r="B31" s="39" t="n"/>
      <c r="C31" s="39" t="n"/>
      <c r="D31" s="40" t="n"/>
      <c r="E31" s="41" t="n"/>
      <c r="F31" s="42" t="n"/>
      <c r="G31" s="42" t="n"/>
      <c r="H31" s="42" t="n"/>
      <c r="I31" s="34">
        <f>IF(OR(J31="G",J31="D"),0,IF(AND(F31="",G31=""),0,MAX(0,IFERROR(F31+0,0)+IFERROR(G31+0,0)-IFERROR(H31+0,0))))</f>
        <v/>
      </c>
      <c r="J31" s="43" t="n"/>
      <c r="K31" s="42" t="n"/>
      <c r="L31" s="42" t="n"/>
      <c r="M31" s="42" t="n"/>
      <c r="N31" s="34">
        <f>IF(OR(O31="G",O31="D"),0,IF(AND(K31="",L31=""),0,MAX(0,IFERROR(K31+0,0)+IFERROR(L31+0,0)-IFERROR(M31+0,0))))</f>
        <v/>
      </c>
      <c r="O31" s="43" t="n"/>
      <c r="P31" s="36">
        <f>IF(B31="","",IF(OR(J31="G",J31="D"),0,I31)+IF(OR(O31="G",O31="D"),0,N31))</f>
        <v/>
      </c>
      <c r="Q31" s="37">
        <f>IF(OR(B31="",P31=0),"-",RANK.EQ(P31,$P$6:$P$45,0))</f>
        <v/>
      </c>
      <c r="R31" s="43">
        <f>IF(OR(B31="",I31=0),"-",IF(OR(J31="G",J31="D"),IF(J31="G","G","D"),COUNTIF($I$6:$I$45,"&gt;"&amp;I31)+1))</f>
        <v/>
      </c>
      <c r="S31" s="43">
        <f>IF(OR(B31="",N31=0),"-",IF(OR(O31="G",O31="D"),IF(O31="G","G","D"),COUNTIF($N$6:$N$45,"&gt;"&amp;N31)+1))</f>
        <v/>
      </c>
    </row>
    <row r="32">
      <c r="A32" s="29" t="n">
        <v>27</v>
      </c>
      <c r="B32" s="30" t="n"/>
      <c r="C32" s="30" t="n"/>
      <c r="D32" s="31" t="n"/>
      <c r="E32" s="32" t="n"/>
      <c r="F32" s="33" t="n"/>
      <c r="G32" s="33" t="n"/>
      <c r="H32" s="33" t="n"/>
      <c r="I32" s="34">
        <f>IF(OR(J32="G",J32="D"),0,IF(AND(F32="",G32=""),0,MAX(0,IFERROR(F32+0,0)+IFERROR(G32+0,0)-IFERROR(H32+0,0))))</f>
        <v/>
      </c>
      <c r="J32" s="35" t="n"/>
      <c r="K32" s="33" t="n"/>
      <c r="L32" s="33" t="n"/>
      <c r="M32" s="33" t="n"/>
      <c r="N32" s="34">
        <f>IF(OR(O32="G",O32="D"),0,IF(AND(K32="",L32=""),0,MAX(0,IFERROR(K32+0,0)+IFERROR(L32+0,0)-IFERROR(M32+0,0))))</f>
        <v/>
      </c>
      <c r="O32" s="35" t="n"/>
      <c r="P32" s="36">
        <f>IF(B32="","",IF(OR(J32="G",J32="D"),0,I32)+IF(OR(O32="G",O32="D"),0,N32))</f>
        <v/>
      </c>
      <c r="Q32" s="37">
        <f>IF(OR(B32="",P32=0),"-",RANK.EQ(P32,$P$6:$P$45,0))</f>
        <v/>
      </c>
      <c r="R32" s="35">
        <f>IF(OR(B32="",I32=0),"-",IF(OR(J32="G",J32="D"),IF(J32="G","G","D"),COUNTIF($I$6:$I$45,"&gt;"&amp;I32)+1))</f>
        <v/>
      </c>
      <c r="S32" s="35">
        <f>IF(OR(B32="",N32=0),"-",IF(OR(O32="G",O32="D"),IF(O32="G","G","D"),COUNTIF($N$6:$N$45,"&gt;"&amp;N32)+1))</f>
        <v/>
      </c>
    </row>
    <row r="33">
      <c r="A33" s="38" t="n">
        <v>28</v>
      </c>
      <c r="B33" s="39" t="n"/>
      <c r="C33" s="39" t="n"/>
      <c r="D33" s="40" t="n"/>
      <c r="E33" s="41" t="n"/>
      <c r="F33" s="42" t="n"/>
      <c r="G33" s="42" t="n"/>
      <c r="H33" s="42" t="n"/>
      <c r="I33" s="34">
        <f>IF(OR(J33="G",J33="D"),0,IF(AND(F33="",G33=""),0,MAX(0,IFERROR(F33+0,0)+IFERROR(G33+0,0)-IFERROR(H33+0,0))))</f>
        <v/>
      </c>
      <c r="J33" s="43" t="n"/>
      <c r="K33" s="42" t="n"/>
      <c r="L33" s="42" t="n"/>
      <c r="M33" s="42" t="n"/>
      <c r="N33" s="34">
        <f>IF(OR(O33="G",O33="D"),0,IF(AND(K33="",L33=""),0,MAX(0,IFERROR(K33+0,0)+IFERROR(L33+0,0)-IFERROR(M33+0,0))))</f>
        <v/>
      </c>
      <c r="O33" s="43" t="n"/>
      <c r="P33" s="36">
        <f>IF(B33="","",IF(OR(J33="G",J33="D"),0,I33)+IF(OR(O33="G",O33="D"),0,N33))</f>
        <v/>
      </c>
      <c r="Q33" s="37">
        <f>IF(OR(B33="",P33=0),"-",RANK.EQ(P33,$P$6:$P$45,0))</f>
        <v/>
      </c>
      <c r="R33" s="43">
        <f>IF(OR(B33="",I33=0),"-",IF(OR(J33="G",J33="D"),IF(J33="G","G","D"),COUNTIF($I$6:$I$45,"&gt;"&amp;I33)+1))</f>
        <v/>
      </c>
      <c r="S33" s="43">
        <f>IF(OR(B33="",N33=0),"-",IF(OR(O33="G",O33="D"),IF(O33="G","G","D"),COUNTIF($N$6:$N$45,"&gt;"&amp;N33)+1))</f>
        <v/>
      </c>
    </row>
    <row r="34">
      <c r="A34" s="29" t="n">
        <v>29</v>
      </c>
      <c r="B34" s="30" t="n"/>
      <c r="C34" s="30" t="n"/>
      <c r="D34" s="31" t="n"/>
      <c r="E34" s="32" t="n"/>
      <c r="F34" s="33" t="n"/>
      <c r="G34" s="33" t="n"/>
      <c r="H34" s="33" t="n"/>
      <c r="I34" s="34">
        <f>IF(OR(J34="G",J34="D"),0,IF(AND(F34="",G34=""),0,MAX(0,IFERROR(F34+0,0)+IFERROR(G34+0,0)-IFERROR(H34+0,0))))</f>
        <v/>
      </c>
      <c r="J34" s="35" t="n"/>
      <c r="K34" s="33" t="n"/>
      <c r="L34" s="33" t="n"/>
      <c r="M34" s="33" t="n"/>
      <c r="N34" s="34">
        <f>IF(OR(O34="G",O34="D"),0,IF(AND(K34="",L34=""),0,MAX(0,IFERROR(K34+0,0)+IFERROR(L34+0,0)-IFERROR(M34+0,0))))</f>
        <v/>
      </c>
      <c r="O34" s="35" t="n"/>
      <c r="P34" s="36">
        <f>IF(B34="","",IF(OR(J34="G",J34="D"),0,I34)+IF(OR(O34="G",O34="D"),0,N34))</f>
        <v/>
      </c>
      <c r="Q34" s="37">
        <f>IF(OR(B34="",P34=0),"-",RANK.EQ(P34,$P$6:$P$45,0))</f>
        <v/>
      </c>
      <c r="R34" s="35">
        <f>IF(OR(B34="",I34=0),"-",IF(OR(J34="G",J34="D"),IF(J34="G","G","D"),COUNTIF($I$6:$I$45,"&gt;"&amp;I34)+1))</f>
        <v/>
      </c>
      <c r="S34" s="35">
        <f>IF(OR(B34="",N34=0),"-",IF(OR(O34="G",O34="D"),IF(O34="G","G","D"),COUNTIF($N$6:$N$45,"&gt;"&amp;N34)+1))</f>
        <v/>
      </c>
    </row>
    <row r="35">
      <c r="A35" s="38" t="n">
        <v>30</v>
      </c>
      <c r="B35" s="39" t="n"/>
      <c r="C35" s="39" t="n"/>
      <c r="D35" s="40" t="n"/>
      <c r="E35" s="41" t="n"/>
      <c r="F35" s="42" t="n"/>
      <c r="G35" s="42" t="n"/>
      <c r="H35" s="42" t="n"/>
      <c r="I35" s="34">
        <f>IF(OR(J35="G",J35="D"),0,IF(AND(F35="",G35=""),0,MAX(0,IFERROR(F35+0,0)+IFERROR(G35+0,0)-IFERROR(H35+0,0))))</f>
        <v/>
      </c>
      <c r="J35" s="43" t="n"/>
      <c r="K35" s="42" t="n"/>
      <c r="L35" s="42" t="n"/>
      <c r="M35" s="42" t="n"/>
      <c r="N35" s="34">
        <f>IF(OR(O35="G",O35="D"),0,IF(AND(K35="",L35=""),0,MAX(0,IFERROR(K35+0,0)+IFERROR(L35+0,0)-IFERROR(M35+0,0))))</f>
        <v/>
      </c>
      <c r="O35" s="43" t="n"/>
      <c r="P35" s="36">
        <f>IF(B35="","",IF(OR(J35="G",J35="D"),0,I35)+IF(OR(O35="G",O35="D"),0,N35))</f>
        <v/>
      </c>
      <c r="Q35" s="37">
        <f>IF(OR(B35="",P35=0),"-",RANK.EQ(P35,$P$6:$P$45,0))</f>
        <v/>
      </c>
      <c r="R35" s="43">
        <f>IF(OR(B35="",I35=0),"-",IF(OR(J35="G",J35="D"),IF(J35="G","G","D"),COUNTIF($I$6:$I$45,"&gt;"&amp;I35)+1))</f>
        <v/>
      </c>
      <c r="S35" s="43">
        <f>IF(OR(B35="",N35=0),"-",IF(OR(O35="G",O35="D"),IF(O35="G","G","D"),COUNTIF($N$6:$N$45,"&gt;"&amp;N35)+1))</f>
        <v/>
      </c>
    </row>
    <row r="36">
      <c r="A36" s="29" t="n">
        <v>31</v>
      </c>
      <c r="B36" s="30" t="n"/>
      <c r="C36" s="30" t="n"/>
      <c r="D36" s="31" t="n"/>
      <c r="E36" s="32" t="n"/>
      <c r="F36" s="33" t="n"/>
      <c r="G36" s="33" t="n"/>
      <c r="H36" s="33" t="n"/>
      <c r="I36" s="34">
        <f>IF(OR(J36="G",J36="D"),0,IF(AND(F36="",G36=""),0,MAX(0,IFERROR(F36+0,0)+IFERROR(G36+0,0)-IFERROR(H36+0,0))))</f>
        <v/>
      </c>
      <c r="J36" s="35" t="n"/>
      <c r="K36" s="33" t="n"/>
      <c r="L36" s="33" t="n"/>
      <c r="M36" s="33" t="n"/>
      <c r="N36" s="34">
        <f>IF(OR(O36="G",O36="D"),0,IF(AND(K36="",L36=""),0,MAX(0,IFERROR(K36+0,0)+IFERROR(L36+0,0)-IFERROR(M36+0,0))))</f>
        <v/>
      </c>
      <c r="O36" s="35" t="n"/>
      <c r="P36" s="36">
        <f>IF(B36="","",IF(OR(J36="G",J36="D"),0,I36)+IF(OR(O36="G",O36="D"),0,N36))</f>
        <v/>
      </c>
      <c r="Q36" s="37">
        <f>IF(OR(B36="",P36=0),"-",RANK.EQ(P36,$P$6:$P$45,0))</f>
        <v/>
      </c>
      <c r="R36" s="35">
        <f>IF(OR(B36="",I36=0),"-",IF(OR(J36="G",J36="D"),IF(J36="G","G","D"),COUNTIF($I$6:$I$45,"&gt;"&amp;I36)+1))</f>
        <v/>
      </c>
      <c r="S36" s="35">
        <f>IF(OR(B36="",N36=0),"-",IF(OR(O36="G",O36="D"),IF(O36="G","G","D"),COUNTIF($N$6:$N$45,"&gt;"&amp;N36)+1))</f>
        <v/>
      </c>
    </row>
    <row r="37">
      <c r="A37" s="38" t="n">
        <v>32</v>
      </c>
      <c r="B37" s="39" t="n"/>
      <c r="C37" s="39" t="n"/>
      <c r="D37" s="40" t="n"/>
      <c r="E37" s="41" t="n"/>
      <c r="F37" s="42" t="n"/>
      <c r="G37" s="42" t="n"/>
      <c r="H37" s="42" t="n"/>
      <c r="I37" s="34">
        <f>IF(OR(J37="G",J37="D"),0,IF(AND(F37="",G37=""),0,MAX(0,IFERROR(F37+0,0)+IFERROR(G37+0,0)-IFERROR(H37+0,0))))</f>
        <v/>
      </c>
      <c r="J37" s="43" t="n"/>
      <c r="K37" s="42" t="n"/>
      <c r="L37" s="42" t="n"/>
      <c r="M37" s="42" t="n"/>
      <c r="N37" s="34">
        <f>IF(OR(O37="G",O37="D"),0,IF(AND(K37="",L37=""),0,MAX(0,IFERROR(K37+0,0)+IFERROR(L37+0,0)-IFERROR(M37+0,0))))</f>
        <v/>
      </c>
      <c r="O37" s="43" t="n"/>
      <c r="P37" s="36">
        <f>IF(B37="","",IF(OR(J37="G",J37="D"),0,I37)+IF(OR(O37="G",O37="D"),0,N37))</f>
        <v/>
      </c>
      <c r="Q37" s="37">
        <f>IF(OR(B37="",P37=0),"-",RANK.EQ(P37,$P$6:$P$45,0))</f>
        <v/>
      </c>
      <c r="R37" s="43">
        <f>IF(OR(B37="",I37=0),"-",IF(OR(J37="G",J37="D"),IF(J37="G","G","D"),COUNTIF($I$6:$I$45,"&gt;"&amp;I37)+1))</f>
        <v/>
      </c>
      <c r="S37" s="43">
        <f>IF(OR(B37="",N37=0),"-",IF(OR(O37="G",O37="D"),IF(O37="G","G","D"),COUNTIF($N$6:$N$45,"&gt;"&amp;N37)+1))</f>
        <v/>
      </c>
    </row>
    <row r="38">
      <c r="A38" s="29" t="n">
        <v>33</v>
      </c>
      <c r="B38" s="30" t="n"/>
      <c r="C38" s="30" t="n"/>
      <c r="D38" s="31" t="n"/>
      <c r="E38" s="32" t="n"/>
      <c r="F38" s="33" t="n"/>
      <c r="G38" s="33" t="n"/>
      <c r="H38" s="33" t="n"/>
      <c r="I38" s="34">
        <f>IF(OR(J38="G",J38="D"),0,IF(AND(F38="",G38=""),0,MAX(0,IFERROR(F38+0,0)+IFERROR(G38+0,0)-IFERROR(H38+0,0))))</f>
        <v/>
      </c>
      <c r="J38" s="35" t="n"/>
      <c r="K38" s="33" t="n"/>
      <c r="L38" s="33" t="n"/>
      <c r="M38" s="33" t="n"/>
      <c r="N38" s="34">
        <f>IF(OR(O38="G",O38="D"),0,IF(AND(K38="",L38=""),0,MAX(0,IFERROR(K38+0,0)+IFERROR(L38+0,0)-IFERROR(M38+0,0))))</f>
        <v/>
      </c>
      <c r="O38" s="35" t="n"/>
      <c r="P38" s="36">
        <f>IF(B38="","",IF(OR(J38="G",J38="D"),0,I38)+IF(OR(O38="G",O38="D"),0,N38))</f>
        <v/>
      </c>
      <c r="Q38" s="37">
        <f>IF(OR(B38="",P38=0),"-",RANK.EQ(P38,$P$6:$P$45,0))</f>
        <v/>
      </c>
      <c r="R38" s="35">
        <f>IF(OR(B38="",I38=0),"-",IF(OR(J38="G",J38="D"),IF(J38="G","G","D"),COUNTIF($I$6:$I$45,"&gt;"&amp;I38)+1))</f>
        <v/>
      </c>
      <c r="S38" s="35">
        <f>IF(OR(B38="",N38=0),"-",IF(OR(O38="G",O38="D"),IF(O38="G","G","D"),COUNTIF($N$6:$N$45,"&gt;"&amp;N38)+1))</f>
        <v/>
      </c>
    </row>
    <row r="39">
      <c r="A39" s="38" t="n">
        <v>34</v>
      </c>
      <c r="B39" s="39" t="n"/>
      <c r="C39" s="39" t="n"/>
      <c r="D39" s="40" t="n"/>
      <c r="E39" s="41" t="n"/>
      <c r="F39" s="42" t="n"/>
      <c r="G39" s="42" t="n"/>
      <c r="H39" s="42" t="n"/>
      <c r="I39" s="34">
        <f>IF(OR(J39="G",J39="D"),0,IF(AND(F39="",G39=""),0,MAX(0,IFERROR(F39+0,0)+IFERROR(G39+0,0)-IFERROR(H39+0,0))))</f>
        <v/>
      </c>
      <c r="J39" s="43" t="n"/>
      <c r="K39" s="42" t="n"/>
      <c r="L39" s="42" t="n"/>
      <c r="M39" s="42" t="n"/>
      <c r="N39" s="34">
        <f>IF(OR(O39="G",O39="D"),0,IF(AND(K39="",L39=""),0,MAX(0,IFERROR(K39+0,0)+IFERROR(L39+0,0)-IFERROR(M39+0,0))))</f>
        <v/>
      </c>
      <c r="O39" s="43" t="n"/>
      <c r="P39" s="36">
        <f>IF(B39="","",IF(OR(J39="G",J39="D"),0,I39)+IF(OR(O39="G",O39="D"),0,N39))</f>
        <v/>
      </c>
      <c r="Q39" s="37">
        <f>IF(OR(B39="",P39=0),"-",RANK.EQ(P39,$P$6:$P$45,0))</f>
        <v/>
      </c>
      <c r="R39" s="43">
        <f>IF(OR(B39="",I39=0),"-",IF(OR(J39="G",J39="D"),IF(J39="G","G","D"),COUNTIF($I$6:$I$45,"&gt;"&amp;I39)+1))</f>
        <v/>
      </c>
      <c r="S39" s="43">
        <f>IF(OR(B39="",N39=0),"-",IF(OR(O39="G",O39="D"),IF(O39="G","G","D"),COUNTIF($N$6:$N$45,"&gt;"&amp;N39)+1))</f>
        <v/>
      </c>
    </row>
    <row r="40">
      <c r="A40" s="29" t="n">
        <v>35</v>
      </c>
      <c r="B40" s="30" t="n"/>
      <c r="C40" s="30" t="n"/>
      <c r="D40" s="31" t="n"/>
      <c r="E40" s="32" t="n"/>
      <c r="F40" s="33" t="n"/>
      <c r="G40" s="33" t="n"/>
      <c r="H40" s="33" t="n"/>
      <c r="I40" s="34">
        <f>IF(OR(J40="G",J40="D"),0,IF(AND(F40="",G40=""),0,MAX(0,IFERROR(F40+0,0)+IFERROR(G40+0,0)-IFERROR(H40+0,0))))</f>
        <v/>
      </c>
      <c r="J40" s="35" t="n"/>
      <c r="K40" s="33" t="n"/>
      <c r="L40" s="33" t="n"/>
      <c r="M40" s="33" t="n"/>
      <c r="N40" s="34">
        <f>IF(OR(O40="G",O40="D"),0,IF(AND(K40="",L40=""),0,MAX(0,IFERROR(K40+0,0)+IFERROR(L40+0,0)-IFERROR(M40+0,0))))</f>
        <v/>
      </c>
      <c r="O40" s="35" t="n"/>
      <c r="P40" s="36">
        <f>IF(B40="","",IF(OR(J40="G",J40="D"),0,I40)+IF(OR(O40="G",O40="D"),0,N40))</f>
        <v/>
      </c>
      <c r="Q40" s="37">
        <f>IF(OR(B40="",P40=0),"-",RANK.EQ(P40,$P$6:$P$45,0))</f>
        <v/>
      </c>
      <c r="R40" s="35">
        <f>IF(OR(B40="",I40=0),"-",IF(OR(J40="G",J40="D"),IF(J40="G","G","D"),COUNTIF($I$6:$I$45,"&gt;"&amp;I40)+1))</f>
        <v/>
      </c>
      <c r="S40" s="35">
        <f>IF(OR(B40="",N40=0),"-",IF(OR(O40="G",O40="D"),IF(O40="G","G","D"),COUNTIF($N$6:$N$45,"&gt;"&amp;N40)+1))</f>
        <v/>
      </c>
    </row>
    <row r="41">
      <c r="A41" s="38" t="n">
        <v>36</v>
      </c>
      <c r="B41" s="39" t="n"/>
      <c r="C41" s="39" t="n"/>
      <c r="D41" s="40" t="n"/>
      <c r="E41" s="41" t="n"/>
      <c r="F41" s="42" t="n"/>
      <c r="G41" s="42" t="n"/>
      <c r="H41" s="42" t="n"/>
      <c r="I41" s="34">
        <f>IF(OR(J41="G",J41="D"),0,IF(AND(F41="",G41=""),0,MAX(0,IFERROR(F41+0,0)+IFERROR(G41+0,0)-IFERROR(H41+0,0))))</f>
        <v/>
      </c>
      <c r="J41" s="43" t="n"/>
      <c r="K41" s="42" t="n"/>
      <c r="L41" s="42" t="n"/>
      <c r="M41" s="42" t="n"/>
      <c r="N41" s="34">
        <f>IF(OR(O41="G",O41="D"),0,IF(AND(K41="",L41=""),0,MAX(0,IFERROR(K41+0,0)+IFERROR(L41+0,0)-IFERROR(M41+0,0))))</f>
        <v/>
      </c>
      <c r="O41" s="43" t="n"/>
      <c r="P41" s="36">
        <f>IF(B41="","",IF(OR(J41="G",J41="D"),0,I41)+IF(OR(O41="G",O41="D"),0,N41))</f>
        <v/>
      </c>
      <c r="Q41" s="37">
        <f>IF(OR(B41="",P41=0),"-",RANK.EQ(P41,$P$6:$P$45,0))</f>
        <v/>
      </c>
      <c r="R41" s="43">
        <f>IF(OR(B41="",I41=0),"-",IF(OR(J41="G",J41="D"),IF(J41="G","G","D"),COUNTIF($I$6:$I$45,"&gt;"&amp;I41)+1))</f>
        <v/>
      </c>
      <c r="S41" s="43">
        <f>IF(OR(B41="",N41=0),"-",IF(OR(O41="G",O41="D"),IF(O41="G","G","D"),COUNTIF($N$6:$N$45,"&gt;"&amp;N41)+1))</f>
        <v/>
      </c>
    </row>
    <row r="42">
      <c r="A42" s="29" t="n">
        <v>37</v>
      </c>
      <c r="B42" s="30" t="n"/>
      <c r="C42" s="30" t="n"/>
      <c r="D42" s="31" t="n"/>
      <c r="E42" s="32" t="n"/>
      <c r="F42" s="33" t="n"/>
      <c r="G42" s="33" t="n"/>
      <c r="H42" s="33" t="n"/>
      <c r="I42" s="34">
        <f>IF(OR(J42="G",J42="D"),0,IF(AND(F42="",G42=""),0,MAX(0,IFERROR(F42+0,0)+IFERROR(G42+0,0)-IFERROR(H42+0,0))))</f>
        <v/>
      </c>
      <c r="J42" s="35" t="n"/>
      <c r="K42" s="33" t="n"/>
      <c r="L42" s="33" t="n"/>
      <c r="M42" s="33" t="n"/>
      <c r="N42" s="34">
        <f>IF(OR(O42="G",O42="D"),0,IF(AND(K42="",L42=""),0,MAX(0,IFERROR(K42+0,0)+IFERROR(L42+0,0)-IFERROR(M42+0,0))))</f>
        <v/>
      </c>
      <c r="O42" s="35" t="n"/>
      <c r="P42" s="36">
        <f>IF(B42="","",IF(OR(J42="G",J42="D"),0,I42)+IF(OR(O42="G",O42="D"),0,N42))</f>
        <v/>
      </c>
      <c r="Q42" s="37">
        <f>IF(OR(B42="",P42=0),"-",RANK.EQ(P42,$P$6:$P$45,0))</f>
        <v/>
      </c>
      <c r="R42" s="35">
        <f>IF(OR(B42="",I42=0),"-",IF(OR(J42="G",J42="D"),IF(J42="G","G","D"),COUNTIF($I$6:$I$45,"&gt;"&amp;I42)+1))</f>
        <v/>
      </c>
      <c r="S42" s="35">
        <f>IF(OR(B42="",N42=0),"-",IF(OR(O42="G",O42="D"),IF(O42="G","G","D"),COUNTIF($N$6:$N$45,"&gt;"&amp;N42)+1))</f>
        <v/>
      </c>
    </row>
    <row r="43">
      <c r="A43" s="38" t="n">
        <v>38</v>
      </c>
      <c r="B43" s="39" t="n"/>
      <c r="C43" s="39" t="n"/>
      <c r="D43" s="40" t="n"/>
      <c r="E43" s="41" t="n"/>
      <c r="F43" s="42" t="n"/>
      <c r="G43" s="42" t="n"/>
      <c r="H43" s="42" t="n"/>
      <c r="I43" s="34">
        <f>IF(OR(J43="G",J43="D"),0,IF(AND(F43="",G43=""),0,MAX(0,IFERROR(F43+0,0)+IFERROR(G43+0,0)-IFERROR(H43+0,0))))</f>
        <v/>
      </c>
      <c r="J43" s="43" t="n"/>
      <c r="K43" s="42" t="n"/>
      <c r="L43" s="42" t="n"/>
      <c r="M43" s="42" t="n"/>
      <c r="N43" s="34">
        <f>IF(OR(O43="G",O43="D"),0,IF(AND(K43="",L43=""),0,MAX(0,IFERROR(K43+0,0)+IFERROR(L43+0,0)-IFERROR(M43+0,0))))</f>
        <v/>
      </c>
      <c r="O43" s="43" t="n"/>
      <c r="P43" s="36">
        <f>IF(B43="","",IF(OR(J43="G",J43="D"),0,I43)+IF(OR(O43="G",O43="D"),0,N43))</f>
        <v/>
      </c>
      <c r="Q43" s="37">
        <f>IF(OR(B43="",P43=0),"-",RANK.EQ(P43,$P$6:$P$45,0))</f>
        <v/>
      </c>
      <c r="R43" s="43">
        <f>IF(OR(B43="",I43=0),"-",IF(OR(J43="G",J43="D"),IF(J43="G","G","D"),COUNTIF($I$6:$I$45,"&gt;"&amp;I43)+1))</f>
        <v/>
      </c>
      <c r="S43" s="43">
        <f>IF(OR(B43="",N43=0),"-",IF(OR(O43="G",O43="D"),IF(O43="G","G","D"),COUNTIF($N$6:$N$45,"&gt;"&amp;N43)+1))</f>
        <v/>
      </c>
    </row>
    <row r="44">
      <c r="A44" s="29" t="n">
        <v>39</v>
      </c>
      <c r="B44" s="30" t="n"/>
      <c r="C44" s="30" t="n"/>
      <c r="D44" s="31" t="n"/>
      <c r="E44" s="32" t="n"/>
      <c r="F44" s="33" t="n"/>
      <c r="G44" s="33" t="n"/>
      <c r="H44" s="33" t="n"/>
      <c r="I44" s="34">
        <f>IF(OR(J44="G",J44="D"),0,IF(AND(F44="",G44=""),0,MAX(0,IFERROR(F44+0,0)+IFERROR(G44+0,0)-IFERROR(H44+0,0))))</f>
        <v/>
      </c>
      <c r="J44" s="35" t="n"/>
      <c r="K44" s="33" t="n"/>
      <c r="L44" s="33" t="n"/>
      <c r="M44" s="33" t="n"/>
      <c r="N44" s="34">
        <f>IF(OR(O44="G",O44="D"),0,IF(AND(K44="",L44=""),0,MAX(0,IFERROR(K44+0,0)+IFERROR(L44+0,0)-IFERROR(M44+0,0))))</f>
        <v/>
      </c>
      <c r="O44" s="35" t="n"/>
      <c r="P44" s="36">
        <f>IF(B44="","",IF(OR(J44="G",J44="D"),0,I44)+IF(OR(O44="G",O44="D"),0,N44))</f>
        <v/>
      </c>
      <c r="Q44" s="37">
        <f>IF(OR(B44="",P44=0),"-",RANK.EQ(P44,$P$6:$P$45,0))</f>
        <v/>
      </c>
      <c r="R44" s="35">
        <f>IF(OR(B44="",I44=0),"-",IF(OR(J44="G",J44="D"),IF(J44="G","G","D"),COUNTIF($I$6:$I$45,"&gt;"&amp;I44)+1))</f>
        <v/>
      </c>
      <c r="S44" s="35">
        <f>IF(OR(B44="",N44=0),"-",IF(OR(O44="G",O44="D"),IF(O44="G","G","D"),COUNTIF($N$6:$N$45,"&gt;"&amp;N44)+1))</f>
        <v/>
      </c>
    </row>
    <row r="45">
      <c r="A45" s="38" t="n">
        <v>40</v>
      </c>
      <c r="B45" s="39" t="n"/>
      <c r="C45" s="39" t="n"/>
      <c r="D45" s="40" t="n"/>
      <c r="E45" s="41" t="n"/>
      <c r="F45" s="42" t="n"/>
      <c r="G45" s="42" t="n"/>
      <c r="H45" s="42" t="n"/>
      <c r="I45" s="34">
        <f>IF(OR(J45="G",J45="D"),0,IF(AND(F45="",G45=""),0,MAX(0,IFERROR(F45+0,0)+IFERROR(G45+0,0)-IFERROR(H45+0,0))))</f>
        <v/>
      </c>
      <c r="J45" s="43" t="n"/>
      <c r="K45" s="42" t="n"/>
      <c r="L45" s="42" t="n"/>
      <c r="M45" s="42" t="n"/>
      <c r="N45" s="34">
        <f>IF(OR(O45="G",O45="D"),0,IF(AND(K45="",L45=""),0,MAX(0,IFERROR(K45+0,0)+IFERROR(L45+0,0)-IFERROR(M45+0,0))))</f>
        <v/>
      </c>
      <c r="O45" s="43" t="n"/>
      <c r="P45" s="36">
        <f>IF(B45="","",IF(OR(J45="G",J45="D"),0,I45)+IF(OR(O45="G",O45="D"),0,N45))</f>
        <v/>
      </c>
      <c r="Q45" s="37">
        <f>IF(OR(B45="",P45=0),"-",RANK.EQ(P45,$P$6:$P$45,0))</f>
        <v/>
      </c>
      <c r="R45" s="43">
        <f>IF(OR(B45="",I45=0),"-",IF(OR(J45="G",J45="D"),IF(J45="G","G","D"),COUNTIF($I$6:$I$45,"&gt;"&amp;I45)+1))</f>
        <v/>
      </c>
      <c r="S45" s="43">
        <f>IF(OR(B45="",N45=0),"-",IF(OR(O45="G",O45="D"),IF(O45="G","G","D"),COUNTIF($N$6:$N$45,"&gt;"&amp;N45)+1))</f>
        <v/>
      </c>
    </row>
    <row r="47">
      <c r="A47" s="44">
        <f>COUNTA(B6:B45)&amp;" sporcu kayıtlı"</f>
        <v/>
      </c>
    </row>
  </sheetData>
  <mergeCells count="7">
    <mergeCell ref="K3:O3"/>
    <mergeCell ref="F3:J3"/>
    <mergeCell ref="A5:S5"/>
    <mergeCell ref="A1:S1"/>
    <mergeCell ref="A47:E47"/>
    <mergeCell ref="R3:S3"/>
    <mergeCell ref="A2:S2"/>
  </mergeCells>
  <conditionalFormatting sqref="Q6:Q45">
    <cfRule type="cellIs" priority="1" operator="equal" dxfId="0">
      <formula>1</formula>
    </cfRule>
    <cfRule type="cellIs" priority="2" operator="equal" dxfId="1">
      <formula>2</formula>
    </cfRule>
    <cfRule type="cellIs" priority="3" operator="equal" dxfId="2">
      <formula>3</formula>
    </cfRule>
  </conditionalFormatting>
  <conditionalFormatting sqref="J6:J45">
    <cfRule type="cellIs" priority="4" operator="equal" dxfId="3">
      <formula>"G"</formula>
    </cfRule>
    <cfRule type="cellIs" priority="5" operator="equal" dxfId="4">
      <formula>"D"</formula>
    </cfRule>
  </conditionalFormatting>
  <conditionalFormatting sqref="O6:O45">
    <cfRule type="cellIs" priority="6" operator="equal" dxfId="3">
      <formula>"G"</formula>
    </cfRule>
    <cfRule type="cellIs" priority="7" operator="equal" dxfId="4">
      <formula>"D"</formula>
    </cfRule>
  </conditionalFormatting>
  <dataValidations count="2">
    <dataValidation sqref="E6 E7 E8 E9 E10 E11 E12 E13 E14 E15 E16 E17 E18 E19 E20 E21 E22 E23 E24 E25 E26 E27 E28 E29 E30 E31 E32 E33 E34 E35 E36 E37 E38 E39 E40 E41 E42 E43 E44 E45" showDropDown="0" showInputMessage="0" showErrorMessage="0" allowBlank="1" type="list">
      <formula1>"Bireysel,Takım"</formula1>
    </dataValidation>
    <dataValidation sqref="J6 J7 J8 J9 J10 J11 J12 J13 J14 J15 J16 J17 J18 J19 J20 J21 J22 J23 J24 J25 J26 J27 J28 J29 J30 J31 J32 J33 J34 J35 J36 J37 J38 J39 J40 J41 J42 J43 J44 J45 O6 O7 O8 O9 O10 O11 O12 O13 O14 O15 O16 O17 O18 O19 O20 O21 O22 O23 O24 O25 O26 O27 O28 O29 O30 O31 O32 O33 O34 O35 O36 O37 O38 O39 O40 O41 O42 O43 O44 O45" showDropDown="0" showInputMessage="0" showErrorMessage="0" allowBlank="1" type="list">
      <formula1>"N,G,D"</formula1>
    </dataValidation>
  </dataValidations>
  <pageMargins left="0.4" right="0.4" top="0.5" bottom="0.5"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AE4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4" customWidth="1" min="3" max="3"/>
    <col width="26" customWidth="1" min="4" max="4"/>
    <col width="10" customWidth="1" min="5" max="5"/>
    <col width="6.5" customWidth="1" min="6" max="6"/>
    <col width="6.5" customWidth="1" min="7" max="7"/>
    <col width="6.5" customWidth="1" min="8" max="8"/>
    <col width="9" customWidth="1" min="9" max="9"/>
    <col width="6" customWidth="1" min="10" max="10"/>
    <col width="6.5" customWidth="1" min="11" max="11"/>
    <col width="6.5" customWidth="1" min="12" max="12"/>
    <col width="6.5" customWidth="1" min="13" max="13"/>
    <col width="9" customWidth="1" min="14" max="14"/>
    <col width="6" customWidth="1" min="15" max="15"/>
    <col width="6.5" customWidth="1" min="16" max="16"/>
    <col width="6.5" customWidth="1" min="17" max="17"/>
    <col width="6.5" customWidth="1" min="18" max="18"/>
    <col width="9" customWidth="1" min="19" max="19"/>
    <col width="6" customWidth="1" min="20" max="20"/>
    <col width="6.5" customWidth="1" min="21" max="21"/>
    <col width="6.5" customWidth="1" min="22" max="22"/>
    <col width="6.5" customWidth="1" min="23" max="23"/>
    <col width="9" customWidth="1" min="24" max="24"/>
    <col width="6" customWidth="1" min="25" max="25"/>
    <col width="11" customWidth="1" min="26" max="26"/>
    <col width="9" customWidth="1" min="27" max="27"/>
    <col width="7" customWidth="1" min="28" max="28"/>
    <col width="7" customWidth="1" min="29" max="29"/>
    <col width="7" customWidth="1" min="30" max="30"/>
    <col width="7" customWidth="1" min="31" max="31"/>
  </cols>
  <sheetData>
    <row r="1" ht="32" customHeight="1">
      <c r="A1" s="22" t="inlineStr">
        <is>
          <t>KÜÇÜK KIZLAR</t>
        </is>
      </c>
    </row>
    <row r="2" ht="15" customHeight="1">
      <c r="A2" s="23">
        <f>'YARIŞMA BİLGİLERİ'!C3&amp;"  —  "&amp;'YARIŞMA BİLGİLERİ'!C4&amp;"  |  "&amp;'YARIŞMA BİLGİLERİ'!C5</f>
        <v/>
      </c>
    </row>
    <row r="3" ht="22" customHeight="1">
      <c r="A3" s="24" t="n"/>
      <c r="B3" s="24" t="n"/>
      <c r="C3" s="24" t="n"/>
      <c r="D3" s="24" t="n"/>
      <c r="E3" s="24" t="n"/>
      <c r="F3" s="25" t="inlineStr">
        <is>
          <t>ATLAMA (VT)</t>
        </is>
      </c>
      <c r="G3" s="24" t="n"/>
      <c r="H3" s="24" t="n"/>
      <c r="I3" s="24" t="n"/>
      <c r="J3" s="24" t="n"/>
      <c r="K3" s="25" t="inlineStr">
        <is>
          <t>AS.PARALEL (UB)</t>
        </is>
      </c>
      <c r="L3" s="24" t="n"/>
      <c r="M3" s="24" t="n"/>
      <c r="N3" s="24" t="n"/>
      <c r="O3" s="24" t="n"/>
      <c r="P3" s="25" t="inlineStr">
        <is>
          <t>DENGE (BB)</t>
        </is>
      </c>
      <c r="Q3" s="24" t="n"/>
      <c r="R3" s="24" t="n"/>
      <c r="S3" s="24" t="n"/>
      <c r="T3" s="24" t="n"/>
      <c r="U3" s="25" t="inlineStr">
        <is>
          <t>SERBEST (FX)</t>
        </is>
      </c>
      <c r="V3" s="24" t="n"/>
      <c r="W3" s="24" t="n"/>
      <c r="X3" s="24" t="n"/>
      <c r="Y3" s="24" t="n"/>
      <c r="Z3" s="24" t="n"/>
      <c r="AA3" s="24" t="n"/>
      <c r="AB3" s="26" t="inlineStr">
        <is>
          <t>ALET SIRALARI  (Eleme Seçimi için)</t>
        </is>
      </c>
      <c r="AC3" s="24" t="n"/>
      <c r="AD3" s="24" t="n"/>
      <c r="AE3" s="24" t="n"/>
    </row>
    <row r="4" ht="30" customHeight="1">
      <c r="A4" s="27" t="inlineStr">
        <is>
          <t>No</t>
        </is>
      </c>
      <c r="B4" s="27" t="inlineStr">
        <is>
          <t>Ad</t>
        </is>
      </c>
      <c r="C4" s="27" t="inlineStr">
        <is>
          <t>Soyad</t>
        </is>
      </c>
      <c r="D4" s="27" t="inlineStr">
        <is>
          <t>Okul / Kulüp</t>
        </is>
      </c>
      <c r="E4" s="27" t="inlineStr">
        <is>
          <t>Tür</t>
        </is>
      </c>
      <c r="F4" s="27" t="inlineStr">
        <is>
          <t>D</t>
        </is>
      </c>
      <c r="G4" s="27" t="inlineStr">
        <is>
          <t>E</t>
        </is>
      </c>
      <c r="H4" s="27" t="inlineStr">
        <is>
          <t>ND</t>
        </is>
      </c>
      <c r="I4" s="27" t="inlineStr">
        <is>
          <t>Final</t>
        </is>
      </c>
      <c r="J4" s="27" t="inlineStr">
        <is>
          <t>Dur</t>
        </is>
      </c>
      <c r="K4" s="27" t="inlineStr">
        <is>
          <t>D</t>
        </is>
      </c>
      <c r="L4" s="27" t="inlineStr">
        <is>
          <t>E</t>
        </is>
      </c>
      <c r="M4" s="27" t="inlineStr">
        <is>
          <t>ND</t>
        </is>
      </c>
      <c r="N4" s="27" t="inlineStr">
        <is>
          <t>Final</t>
        </is>
      </c>
      <c r="O4" s="27" t="inlineStr">
        <is>
          <t>Dur</t>
        </is>
      </c>
      <c r="P4" s="27" t="inlineStr">
        <is>
          <t>D</t>
        </is>
      </c>
      <c r="Q4" s="27" t="inlineStr">
        <is>
          <t>E</t>
        </is>
      </c>
      <c r="R4" s="27" t="inlineStr">
        <is>
          <t>ND</t>
        </is>
      </c>
      <c r="S4" s="27" t="inlineStr">
        <is>
          <t>Final</t>
        </is>
      </c>
      <c r="T4" s="27" t="inlineStr">
        <is>
          <t>Dur</t>
        </is>
      </c>
      <c r="U4" s="27" t="inlineStr">
        <is>
          <t>D</t>
        </is>
      </c>
      <c r="V4" s="27" t="inlineStr">
        <is>
          <t>E</t>
        </is>
      </c>
      <c r="W4" s="27" t="inlineStr">
        <is>
          <t>ND</t>
        </is>
      </c>
      <c r="X4" s="27" t="inlineStr">
        <is>
          <t>Final</t>
        </is>
      </c>
      <c r="Y4" s="27" t="inlineStr">
        <is>
          <t>Dur</t>
        </is>
      </c>
      <c r="Z4" s="27" t="inlineStr">
        <is>
          <t>TOPLAM</t>
        </is>
      </c>
      <c r="AA4" s="27" t="inlineStr">
        <is>
          <t>SIRALAMA</t>
        </is>
      </c>
      <c r="AB4" s="27" t="inlineStr">
        <is>
          <t>VT</t>
        </is>
      </c>
      <c r="AC4" s="27" t="inlineStr">
        <is>
          <t>UB</t>
        </is>
      </c>
      <c r="AD4" s="27" t="inlineStr">
        <is>
          <t>BB</t>
        </is>
      </c>
      <c r="AE4" s="27" t="inlineStr">
        <is>
          <t>FX</t>
        </is>
      </c>
    </row>
    <row r="5" ht="13" customHeight="1">
      <c r="A5" s="28" t="inlineStr">
        <is>
          <t>Final = MAX(0, D+E−ND)  |  Dur: N=Normal · G=Gecersiz · D=Yarışmadı/DNS  |  Mavi sütun = formül (elle girme)  |  Yeşil = Toplam  |  Sarı = Sıralama</t>
        </is>
      </c>
    </row>
    <row r="6">
      <c r="A6" s="29" t="n">
        <v>1</v>
      </c>
      <c r="B6" s="30" t="n"/>
      <c r="C6" s="30" t="n"/>
      <c r="D6" s="31" t="n"/>
      <c r="E6" s="32" t="n"/>
      <c r="F6" s="33" t="n"/>
      <c r="G6" s="33" t="n"/>
      <c r="H6" s="33" t="n"/>
      <c r="I6" s="34">
        <f>IF(OR(J6="G",J6="D"),0,IF(AND(F6="",G6=""),0,MAX(0,IFERROR(F6+0,0)+IFERROR(G6+0,0)-IFERROR(H6+0,0))))</f>
        <v/>
      </c>
      <c r="J6" s="35" t="n"/>
      <c r="K6" s="33" t="n"/>
      <c r="L6" s="33" t="n"/>
      <c r="M6" s="33" t="n"/>
      <c r="N6" s="34">
        <f>IF(OR(O6="G",O6="D"),0,IF(AND(K6="",L6=""),0,MAX(0,IFERROR(K6+0,0)+IFERROR(L6+0,0)-IFERROR(M6+0,0))))</f>
        <v/>
      </c>
      <c r="O6" s="35" t="n"/>
      <c r="P6" s="33" t="n"/>
      <c r="Q6" s="33" t="n"/>
      <c r="R6" s="33" t="n"/>
      <c r="S6" s="34">
        <f>IF(OR(T6="G",T6="D"),0,IF(AND(P6="",Q6=""),0,MAX(0,IFERROR(P6+0,0)+IFERROR(Q6+0,0)-IFERROR(R6+0,0))))</f>
        <v/>
      </c>
      <c r="T6" s="35" t="n"/>
      <c r="U6" s="33" t="n"/>
      <c r="V6" s="33" t="n"/>
      <c r="W6" s="33" t="n"/>
      <c r="X6" s="34">
        <f>IF(OR(Y6="G",Y6="D"),0,IF(AND(U6="",V6=""),0,MAX(0,IFERROR(U6+0,0)+IFERROR(V6+0,0)-IFERROR(W6+0,0))))</f>
        <v/>
      </c>
      <c r="Y6" s="35" t="n"/>
      <c r="Z6" s="36">
        <f>IF(B6="","",IF(OR(J6="G",J6="D"),0,I6)+IF(OR(O6="G",O6="D"),0,N6)+IF(OR(T6="G",T6="D"),0,S6)+IF(OR(Y6="G",Y6="D"),0,X6))</f>
        <v/>
      </c>
      <c r="AA6" s="37">
        <f>IF(OR(B6="",Z6=0),"-",RANK.EQ(Z6,$Z$6:$Z$45,0))</f>
        <v/>
      </c>
      <c r="AB6" s="35">
        <f>IF(OR(B6="",I6=0),"-",IF(OR(J6="G",J6="D"),IF(J6="G","G","D"),COUNTIF($I$6:$I$45,"&gt;"&amp;I6)+1))</f>
        <v/>
      </c>
      <c r="AC6" s="35">
        <f>IF(OR(B6="",N6=0),"-",IF(OR(O6="G",O6="D"),IF(O6="G","G","D"),COUNTIF($N$6:$N$45,"&gt;"&amp;N6)+1))</f>
        <v/>
      </c>
      <c r="AD6" s="35">
        <f>IF(OR(B6="",S6=0),"-",IF(OR(T6="G",T6="D"),IF(T6="G","G","D"),COUNTIF($S$6:$S$45,"&gt;"&amp;S6)+1))</f>
        <v/>
      </c>
      <c r="AE6" s="35">
        <f>IF(OR(B6="",X6=0),"-",IF(OR(Y6="G",Y6="D"),IF(Y6="G","G","D"),COUNTIF($X$6:$X$45,"&gt;"&amp;X6)+1))</f>
        <v/>
      </c>
    </row>
    <row r="7">
      <c r="A7" s="38" t="n">
        <v>2</v>
      </c>
      <c r="B7" s="39" t="n"/>
      <c r="C7" s="39" t="n"/>
      <c r="D7" s="40" t="n"/>
      <c r="E7" s="41" t="n"/>
      <c r="F7" s="42" t="n"/>
      <c r="G7" s="42" t="n"/>
      <c r="H7" s="42" t="n"/>
      <c r="I7" s="34">
        <f>IF(OR(J7="G",J7="D"),0,IF(AND(F7="",G7=""),0,MAX(0,IFERROR(F7+0,0)+IFERROR(G7+0,0)-IFERROR(H7+0,0))))</f>
        <v/>
      </c>
      <c r="J7" s="43" t="n"/>
      <c r="K7" s="42" t="n"/>
      <c r="L7" s="42" t="n"/>
      <c r="M7" s="42" t="n"/>
      <c r="N7" s="34">
        <f>IF(OR(O7="G",O7="D"),0,IF(AND(K7="",L7=""),0,MAX(0,IFERROR(K7+0,0)+IFERROR(L7+0,0)-IFERROR(M7+0,0))))</f>
        <v/>
      </c>
      <c r="O7" s="43" t="n"/>
      <c r="P7" s="42" t="n"/>
      <c r="Q7" s="42" t="n"/>
      <c r="R7" s="42" t="n"/>
      <c r="S7" s="34">
        <f>IF(OR(T7="G",T7="D"),0,IF(AND(P7="",Q7=""),0,MAX(0,IFERROR(P7+0,0)+IFERROR(Q7+0,0)-IFERROR(R7+0,0))))</f>
        <v/>
      </c>
      <c r="T7" s="43" t="n"/>
      <c r="U7" s="42" t="n"/>
      <c r="V7" s="42" t="n"/>
      <c r="W7" s="42" t="n"/>
      <c r="X7" s="34">
        <f>IF(OR(Y7="G",Y7="D"),0,IF(AND(U7="",V7=""),0,MAX(0,IFERROR(U7+0,0)+IFERROR(V7+0,0)-IFERROR(W7+0,0))))</f>
        <v/>
      </c>
      <c r="Y7" s="43" t="n"/>
      <c r="Z7" s="36">
        <f>IF(B7="","",IF(OR(J7="G",J7="D"),0,I7)+IF(OR(O7="G",O7="D"),0,N7)+IF(OR(T7="G",T7="D"),0,S7)+IF(OR(Y7="G",Y7="D"),0,X7))</f>
        <v/>
      </c>
      <c r="AA7" s="37">
        <f>IF(OR(B7="",Z7=0),"-",RANK.EQ(Z7,$Z$6:$Z$45,0))</f>
        <v/>
      </c>
      <c r="AB7" s="43">
        <f>IF(OR(B7="",I7=0),"-",IF(OR(J7="G",J7="D"),IF(J7="G","G","D"),COUNTIF($I$6:$I$45,"&gt;"&amp;I7)+1))</f>
        <v/>
      </c>
      <c r="AC7" s="43">
        <f>IF(OR(B7="",N7=0),"-",IF(OR(O7="G",O7="D"),IF(O7="G","G","D"),COUNTIF($N$6:$N$45,"&gt;"&amp;N7)+1))</f>
        <v/>
      </c>
      <c r="AD7" s="43">
        <f>IF(OR(B7="",S7=0),"-",IF(OR(T7="G",T7="D"),IF(T7="G","G","D"),COUNTIF($S$6:$S$45,"&gt;"&amp;S7)+1))</f>
        <v/>
      </c>
      <c r="AE7" s="43">
        <f>IF(OR(B7="",X7=0),"-",IF(OR(Y7="G",Y7="D"),IF(Y7="G","G","D"),COUNTIF($X$6:$X$45,"&gt;"&amp;X7)+1))</f>
        <v/>
      </c>
    </row>
    <row r="8">
      <c r="A8" s="29" t="n">
        <v>3</v>
      </c>
      <c r="B8" s="30" t="n"/>
      <c r="C8" s="30" t="n"/>
      <c r="D8" s="31" t="n"/>
      <c r="E8" s="32" t="n"/>
      <c r="F8" s="33" t="n"/>
      <c r="G8" s="33" t="n"/>
      <c r="H8" s="33" t="n"/>
      <c r="I8" s="34">
        <f>IF(OR(J8="G",J8="D"),0,IF(AND(F8="",G8=""),0,MAX(0,IFERROR(F8+0,0)+IFERROR(G8+0,0)-IFERROR(H8+0,0))))</f>
        <v/>
      </c>
      <c r="J8" s="35" t="n"/>
      <c r="K8" s="33" t="n"/>
      <c r="L8" s="33" t="n"/>
      <c r="M8" s="33" t="n"/>
      <c r="N8" s="34">
        <f>IF(OR(O8="G",O8="D"),0,IF(AND(K8="",L8=""),0,MAX(0,IFERROR(K8+0,0)+IFERROR(L8+0,0)-IFERROR(M8+0,0))))</f>
        <v/>
      </c>
      <c r="O8" s="35" t="n"/>
      <c r="P8" s="33" t="n"/>
      <c r="Q8" s="33" t="n"/>
      <c r="R8" s="33" t="n"/>
      <c r="S8" s="34">
        <f>IF(OR(T8="G",T8="D"),0,IF(AND(P8="",Q8=""),0,MAX(0,IFERROR(P8+0,0)+IFERROR(Q8+0,0)-IFERROR(R8+0,0))))</f>
        <v/>
      </c>
      <c r="T8" s="35" t="n"/>
      <c r="U8" s="33" t="n"/>
      <c r="V8" s="33" t="n"/>
      <c r="W8" s="33" t="n"/>
      <c r="X8" s="34">
        <f>IF(OR(Y8="G",Y8="D"),0,IF(AND(U8="",V8=""),0,MAX(0,IFERROR(U8+0,0)+IFERROR(V8+0,0)-IFERROR(W8+0,0))))</f>
        <v/>
      </c>
      <c r="Y8" s="35" t="n"/>
      <c r="Z8" s="36">
        <f>IF(B8="","",IF(OR(J8="G",J8="D"),0,I8)+IF(OR(O8="G",O8="D"),0,N8)+IF(OR(T8="G",T8="D"),0,S8)+IF(OR(Y8="G",Y8="D"),0,X8))</f>
        <v/>
      </c>
      <c r="AA8" s="37">
        <f>IF(OR(B8="",Z8=0),"-",RANK.EQ(Z8,$Z$6:$Z$45,0))</f>
        <v/>
      </c>
      <c r="AB8" s="35">
        <f>IF(OR(B8="",I8=0),"-",IF(OR(J8="G",J8="D"),IF(J8="G","G","D"),COUNTIF($I$6:$I$45,"&gt;"&amp;I8)+1))</f>
        <v/>
      </c>
      <c r="AC8" s="35">
        <f>IF(OR(B8="",N8=0),"-",IF(OR(O8="G",O8="D"),IF(O8="G","G","D"),COUNTIF($N$6:$N$45,"&gt;"&amp;N8)+1))</f>
        <v/>
      </c>
      <c r="AD8" s="35">
        <f>IF(OR(B8="",S8=0),"-",IF(OR(T8="G",T8="D"),IF(T8="G","G","D"),COUNTIF($S$6:$S$45,"&gt;"&amp;S8)+1))</f>
        <v/>
      </c>
      <c r="AE8" s="35">
        <f>IF(OR(B8="",X8=0),"-",IF(OR(Y8="G",Y8="D"),IF(Y8="G","G","D"),COUNTIF($X$6:$X$45,"&gt;"&amp;X8)+1))</f>
        <v/>
      </c>
    </row>
    <row r="9">
      <c r="A9" s="38" t="n">
        <v>4</v>
      </c>
      <c r="B9" s="39" t="n"/>
      <c r="C9" s="39" t="n"/>
      <c r="D9" s="40" t="n"/>
      <c r="E9" s="41" t="n"/>
      <c r="F9" s="42" t="n"/>
      <c r="G9" s="42" t="n"/>
      <c r="H9" s="42" t="n"/>
      <c r="I9" s="34">
        <f>IF(OR(J9="G",J9="D"),0,IF(AND(F9="",G9=""),0,MAX(0,IFERROR(F9+0,0)+IFERROR(G9+0,0)-IFERROR(H9+0,0))))</f>
        <v/>
      </c>
      <c r="J9" s="43" t="n"/>
      <c r="K9" s="42" t="n"/>
      <c r="L9" s="42" t="n"/>
      <c r="M9" s="42" t="n"/>
      <c r="N9" s="34">
        <f>IF(OR(O9="G",O9="D"),0,IF(AND(K9="",L9=""),0,MAX(0,IFERROR(K9+0,0)+IFERROR(L9+0,0)-IFERROR(M9+0,0))))</f>
        <v/>
      </c>
      <c r="O9" s="43" t="n"/>
      <c r="P9" s="42" t="n"/>
      <c r="Q9" s="42" t="n"/>
      <c r="R9" s="42" t="n"/>
      <c r="S9" s="34">
        <f>IF(OR(T9="G",T9="D"),0,IF(AND(P9="",Q9=""),0,MAX(0,IFERROR(P9+0,0)+IFERROR(Q9+0,0)-IFERROR(R9+0,0))))</f>
        <v/>
      </c>
      <c r="T9" s="43" t="n"/>
      <c r="U9" s="42" t="n"/>
      <c r="V9" s="42" t="n"/>
      <c r="W9" s="42" t="n"/>
      <c r="X9" s="34">
        <f>IF(OR(Y9="G",Y9="D"),0,IF(AND(U9="",V9=""),0,MAX(0,IFERROR(U9+0,0)+IFERROR(V9+0,0)-IFERROR(W9+0,0))))</f>
        <v/>
      </c>
      <c r="Y9" s="43" t="n"/>
      <c r="Z9" s="36">
        <f>IF(B9="","",IF(OR(J9="G",J9="D"),0,I9)+IF(OR(O9="G",O9="D"),0,N9)+IF(OR(T9="G",T9="D"),0,S9)+IF(OR(Y9="G",Y9="D"),0,X9))</f>
        <v/>
      </c>
      <c r="AA9" s="37">
        <f>IF(OR(B9="",Z9=0),"-",RANK.EQ(Z9,$Z$6:$Z$45,0))</f>
        <v/>
      </c>
      <c r="AB9" s="43">
        <f>IF(OR(B9="",I9=0),"-",IF(OR(J9="G",J9="D"),IF(J9="G","G","D"),COUNTIF($I$6:$I$45,"&gt;"&amp;I9)+1))</f>
        <v/>
      </c>
      <c r="AC9" s="43">
        <f>IF(OR(B9="",N9=0),"-",IF(OR(O9="G",O9="D"),IF(O9="G","G","D"),COUNTIF($N$6:$N$45,"&gt;"&amp;N9)+1))</f>
        <v/>
      </c>
      <c r="AD9" s="43">
        <f>IF(OR(B9="",S9=0),"-",IF(OR(T9="G",T9="D"),IF(T9="G","G","D"),COUNTIF($S$6:$S$45,"&gt;"&amp;S9)+1))</f>
        <v/>
      </c>
      <c r="AE9" s="43">
        <f>IF(OR(B9="",X9=0),"-",IF(OR(Y9="G",Y9="D"),IF(Y9="G","G","D"),COUNTIF($X$6:$X$45,"&gt;"&amp;X9)+1))</f>
        <v/>
      </c>
    </row>
    <row r="10">
      <c r="A10" s="29" t="n">
        <v>5</v>
      </c>
      <c r="B10" s="30" t="n"/>
      <c r="C10" s="30" t="n"/>
      <c r="D10" s="31" t="n"/>
      <c r="E10" s="32" t="n"/>
      <c r="F10" s="33" t="n"/>
      <c r="G10" s="33" t="n"/>
      <c r="H10" s="33" t="n"/>
      <c r="I10" s="34">
        <f>IF(OR(J10="G",J10="D"),0,IF(AND(F10="",G10=""),0,MAX(0,IFERROR(F10+0,0)+IFERROR(G10+0,0)-IFERROR(H10+0,0))))</f>
        <v/>
      </c>
      <c r="J10" s="35" t="n"/>
      <c r="K10" s="33" t="n"/>
      <c r="L10" s="33" t="n"/>
      <c r="M10" s="33" t="n"/>
      <c r="N10" s="34">
        <f>IF(OR(O10="G",O10="D"),0,IF(AND(K10="",L10=""),0,MAX(0,IFERROR(K10+0,0)+IFERROR(L10+0,0)-IFERROR(M10+0,0))))</f>
        <v/>
      </c>
      <c r="O10" s="35" t="n"/>
      <c r="P10" s="33" t="n"/>
      <c r="Q10" s="33" t="n"/>
      <c r="R10" s="33" t="n"/>
      <c r="S10" s="34">
        <f>IF(OR(T10="G",T10="D"),0,IF(AND(P10="",Q10=""),0,MAX(0,IFERROR(P10+0,0)+IFERROR(Q10+0,0)-IFERROR(R10+0,0))))</f>
        <v/>
      </c>
      <c r="T10" s="35" t="n"/>
      <c r="U10" s="33" t="n"/>
      <c r="V10" s="33" t="n"/>
      <c r="W10" s="33" t="n"/>
      <c r="X10" s="34">
        <f>IF(OR(Y10="G",Y10="D"),0,IF(AND(U10="",V10=""),0,MAX(0,IFERROR(U10+0,0)+IFERROR(V10+0,0)-IFERROR(W10+0,0))))</f>
        <v/>
      </c>
      <c r="Y10" s="35" t="n"/>
      <c r="Z10" s="36">
        <f>IF(B10="","",IF(OR(J10="G",J10="D"),0,I10)+IF(OR(O10="G",O10="D"),0,N10)+IF(OR(T10="G",T10="D"),0,S10)+IF(OR(Y10="G",Y10="D"),0,X10))</f>
        <v/>
      </c>
      <c r="AA10" s="37">
        <f>IF(OR(B10="",Z10=0),"-",RANK.EQ(Z10,$Z$6:$Z$45,0))</f>
        <v/>
      </c>
      <c r="AB10" s="35">
        <f>IF(OR(B10="",I10=0),"-",IF(OR(J10="G",J10="D"),IF(J10="G","G","D"),COUNTIF($I$6:$I$45,"&gt;"&amp;I10)+1))</f>
        <v/>
      </c>
      <c r="AC10" s="35">
        <f>IF(OR(B10="",N10=0),"-",IF(OR(O10="G",O10="D"),IF(O10="G","G","D"),COUNTIF($N$6:$N$45,"&gt;"&amp;N10)+1))</f>
        <v/>
      </c>
      <c r="AD10" s="35">
        <f>IF(OR(B10="",S10=0),"-",IF(OR(T10="G",T10="D"),IF(T10="G","G","D"),COUNTIF($S$6:$S$45,"&gt;"&amp;S10)+1))</f>
        <v/>
      </c>
      <c r="AE10" s="35">
        <f>IF(OR(B10="",X10=0),"-",IF(OR(Y10="G",Y10="D"),IF(Y10="G","G","D"),COUNTIF($X$6:$X$45,"&gt;"&amp;X10)+1))</f>
        <v/>
      </c>
    </row>
    <row r="11">
      <c r="A11" s="38" t="n">
        <v>6</v>
      </c>
      <c r="B11" s="39" t="n"/>
      <c r="C11" s="39" t="n"/>
      <c r="D11" s="40" t="n"/>
      <c r="E11" s="41" t="n"/>
      <c r="F11" s="42" t="n"/>
      <c r="G11" s="42" t="n"/>
      <c r="H11" s="42" t="n"/>
      <c r="I11" s="34">
        <f>IF(OR(J11="G",J11="D"),0,IF(AND(F11="",G11=""),0,MAX(0,IFERROR(F11+0,0)+IFERROR(G11+0,0)-IFERROR(H11+0,0))))</f>
        <v/>
      </c>
      <c r="J11" s="43" t="n"/>
      <c r="K11" s="42" t="n"/>
      <c r="L11" s="42" t="n"/>
      <c r="M11" s="42" t="n"/>
      <c r="N11" s="34">
        <f>IF(OR(O11="G",O11="D"),0,IF(AND(K11="",L11=""),0,MAX(0,IFERROR(K11+0,0)+IFERROR(L11+0,0)-IFERROR(M11+0,0))))</f>
        <v/>
      </c>
      <c r="O11" s="43" t="n"/>
      <c r="P11" s="42" t="n"/>
      <c r="Q11" s="42" t="n"/>
      <c r="R11" s="42" t="n"/>
      <c r="S11" s="34">
        <f>IF(OR(T11="G",T11="D"),0,IF(AND(P11="",Q11=""),0,MAX(0,IFERROR(P11+0,0)+IFERROR(Q11+0,0)-IFERROR(R11+0,0))))</f>
        <v/>
      </c>
      <c r="T11" s="43" t="n"/>
      <c r="U11" s="42" t="n"/>
      <c r="V11" s="42" t="n"/>
      <c r="W11" s="42" t="n"/>
      <c r="X11" s="34">
        <f>IF(OR(Y11="G",Y11="D"),0,IF(AND(U11="",V11=""),0,MAX(0,IFERROR(U11+0,0)+IFERROR(V11+0,0)-IFERROR(W11+0,0))))</f>
        <v/>
      </c>
      <c r="Y11" s="43" t="n"/>
      <c r="Z11" s="36">
        <f>IF(B11="","",IF(OR(J11="G",J11="D"),0,I11)+IF(OR(O11="G",O11="D"),0,N11)+IF(OR(T11="G",T11="D"),0,S11)+IF(OR(Y11="G",Y11="D"),0,X11))</f>
        <v/>
      </c>
      <c r="AA11" s="37">
        <f>IF(OR(B11="",Z11=0),"-",RANK.EQ(Z11,$Z$6:$Z$45,0))</f>
        <v/>
      </c>
      <c r="AB11" s="43">
        <f>IF(OR(B11="",I11=0),"-",IF(OR(J11="G",J11="D"),IF(J11="G","G","D"),COUNTIF($I$6:$I$45,"&gt;"&amp;I11)+1))</f>
        <v/>
      </c>
      <c r="AC11" s="43">
        <f>IF(OR(B11="",N11=0),"-",IF(OR(O11="G",O11="D"),IF(O11="G","G","D"),COUNTIF($N$6:$N$45,"&gt;"&amp;N11)+1))</f>
        <v/>
      </c>
      <c r="AD11" s="43">
        <f>IF(OR(B11="",S11=0),"-",IF(OR(T11="G",T11="D"),IF(T11="G","G","D"),COUNTIF($S$6:$S$45,"&gt;"&amp;S11)+1))</f>
        <v/>
      </c>
      <c r="AE11" s="43">
        <f>IF(OR(B11="",X11=0),"-",IF(OR(Y11="G",Y11="D"),IF(Y11="G","G","D"),COUNTIF($X$6:$X$45,"&gt;"&amp;X11)+1))</f>
        <v/>
      </c>
    </row>
    <row r="12">
      <c r="A12" s="29" t="n">
        <v>7</v>
      </c>
      <c r="B12" s="30" t="n"/>
      <c r="C12" s="30" t="n"/>
      <c r="D12" s="31" t="n"/>
      <c r="E12" s="32" t="n"/>
      <c r="F12" s="33" t="n"/>
      <c r="G12" s="33" t="n"/>
      <c r="H12" s="33" t="n"/>
      <c r="I12" s="34">
        <f>IF(OR(J12="G",J12="D"),0,IF(AND(F12="",G12=""),0,MAX(0,IFERROR(F12+0,0)+IFERROR(G12+0,0)-IFERROR(H12+0,0))))</f>
        <v/>
      </c>
      <c r="J12" s="35" t="n"/>
      <c r="K12" s="33" t="n"/>
      <c r="L12" s="33" t="n"/>
      <c r="M12" s="33" t="n"/>
      <c r="N12" s="34">
        <f>IF(OR(O12="G",O12="D"),0,IF(AND(K12="",L12=""),0,MAX(0,IFERROR(K12+0,0)+IFERROR(L12+0,0)-IFERROR(M12+0,0))))</f>
        <v/>
      </c>
      <c r="O12" s="35" t="n"/>
      <c r="P12" s="33" t="n"/>
      <c r="Q12" s="33" t="n"/>
      <c r="R12" s="33" t="n"/>
      <c r="S12" s="34">
        <f>IF(OR(T12="G",T12="D"),0,IF(AND(P12="",Q12=""),0,MAX(0,IFERROR(P12+0,0)+IFERROR(Q12+0,0)-IFERROR(R12+0,0))))</f>
        <v/>
      </c>
      <c r="T12" s="35" t="n"/>
      <c r="U12" s="33" t="n"/>
      <c r="V12" s="33" t="n"/>
      <c r="W12" s="33" t="n"/>
      <c r="X12" s="34">
        <f>IF(OR(Y12="G",Y12="D"),0,IF(AND(U12="",V12=""),0,MAX(0,IFERROR(U12+0,0)+IFERROR(V12+0,0)-IFERROR(W12+0,0))))</f>
        <v/>
      </c>
      <c r="Y12" s="35" t="n"/>
      <c r="Z12" s="36">
        <f>IF(B12="","",IF(OR(J12="G",J12="D"),0,I12)+IF(OR(O12="G",O12="D"),0,N12)+IF(OR(T12="G",T12="D"),0,S12)+IF(OR(Y12="G",Y12="D"),0,X12))</f>
        <v/>
      </c>
      <c r="AA12" s="37">
        <f>IF(OR(B12="",Z12=0),"-",RANK.EQ(Z12,$Z$6:$Z$45,0))</f>
        <v/>
      </c>
      <c r="AB12" s="35">
        <f>IF(OR(B12="",I12=0),"-",IF(OR(J12="G",J12="D"),IF(J12="G","G","D"),COUNTIF($I$6:$I$45,"&gt;"&amp;I12)+1))</f>
        <v/>
      </c>
      <c r="AC12" s="35">
        <f>IF(OR(B12="",N12=0),"-",IF(OR(O12="G",O12="D"),IF(O12="G","G","D"),COUNTIF($N$6:$N$45,"&gt;"&amp;N12)+1))</f>
        <v/>
      </c>
      <c r="AD12" s="35">
        <f>IF(OR(B12="",S12=0),"-",IF(OR(T12="G",T12="D"),IF(T12="G","G","D"),COUNTIF($S$6:$S$45,"&gt;"&amp;S12)+1))</f>
        <v/>
      </c>
      <c r="AE12" s="35">
        <f>IF(OR(B12="",X12=0),"-",IF(OR(Y12="G",Y12="D"),IF(Y12="G","G","D"),COUNTIF($X$6:$X$45,"&gt;"&amp;X12)+1))</f>
        <v/>
      </c>
    </row>
    <row r="13">
      <c r="A13" s="38" t="n">
        <v>8</v>
      </c>
      <c r="B13" s="39" t="n"/>
      <c r="C13" s="39" t="n"/>
      <c r="D13" s="40" t="n"/>
      <c r="E13" s="41" t="n"/>
      <c r="F13" s="42" t="n"/>
      <c r="G13" s="42" t="n"/>
      <c r="H13" s="42" t="n"/>
      <c r="I13" s="34">
        <f>IF(OR(J13="G",J13="D"),0,IF(AND(F13="",G13=""),0,MAX(0,IFERROR(F13+0,0)+IFERROR(G13+0,0)-IFERROR(H13+0,0))))</f>
        <v/>
      </c>
      <c r="J13" s="43" t="n"/>
      <c r="K13" s="42" t="n"/>
      <c r="L13" s="42" t="n"/>
      <c r="M13" s="42" t="n"/>
      <c r="N13" s="34">
        <f>IF(OR(O13="G",O13="D"),0,IF(AND(K13="",L13=""),0,MAX(0,IFERROR(K13+0,0)+IFERROR(L13+0,0)-IFERROR(M13+0,0))))</f>
        <v/>
      </c>
      <c r="O13" s="43" t="n"/>
      <c r="P13" s="42" t="n"/>
      <c r="Q13" s="42" t="n"/>
      <c r="R13" s="42" t="n"/>
      <c r="S13" s="34">
        <f>IF(OR(T13="G",T13="D"),0,IF(AND(P13="",Q13=""),0,MAX(0,IFERROR(P13+0,0)+IFERROR(Q13+0,0)-IFERROR(R13+0,0))))</f>
        <v/>
      </c>
      <c r="T13" s="43" t="n"/>
      <c r="U13" s="42" t="n"/>
      <c r="V13" s="42" t="n"/>
      <c r="W13" s="42" t="n"/>
      <c r="X13" s="34">
        <f>IF(OR(Y13="G",Y13="D"),0,IF(AND(U13="",V13=""),0,MAX(0,IFERROR(U13+0,0)+IFERROR(V13+0,0)-IFERROR(W13+0,0))))</f>
        <v/>
      </c>
      <c r="Y13" s="43" t="n"/>
      <c r="Z13" s="36">
        <f>IF(B13="","",IF(OR(J13="G",J13="D"),0,I13)+IF(OR(O13="G",O13="D"),0,N13)+IF(OR(T13="G",T13="D"),0,S13)+IF(OR(Y13="G",Y13="D"),0,X13))</f>
        <v/>
      </c>
      <c r="AA13" s="37">
        <f>IF(OR(B13="",Z13=0),"-",RANK.EQ(Z13,$Z$6:$Z$45,0))</f>
        <v/>
      </c>
      <c r="AB13" s="43">
        <f>IF(OR(B13="",I13=0),"-",IF(OR(J13="G",J13="D"),IF(J13="G","G","D"),COUNTIF($I$6:$I$45,"&gt;"&amp;I13)+1))</f>
        <v/>
      </c>
      <c r="AC13" s="43">
        <f>IF(OR(B13="",N13=0),"-",IF(OR(O13="G",O13="D"),IF(O13="G","G","D"),COUNTIF($N$6:$N$45,"&gt;"&amp;N13)+1))</f>
        <v/>
      </c>
      <c r="AD13" s="43">
        <f>IF(OR(B13="",S13=0),"-",IF(OR(T13="G",T13="D"),IF(T13="G","G","D"),COUNTIF($S$6:$S$45,"&gt;"&amp;S13)+1))</f>
        <v/>
      </c>
      <c r="AE13" s="43">
        <f>IF(OR(B13="",X13=0),"-",IF(OR(Y13="G",Y13="D"),IF(Y13="G","G","D"),COUNTIF($X$6:$X$45,"&gt;"&amp;X13)+1))</f>
        <v/>
      </c>
    </row>
    <row r="14">
      <c r="A14" s="29" t="n">
        <v>9</v>
      </c>
      <c r="B14" s="30" t="n"/>
      <c r="C14" s="30" t="n"/>
      <c r="D14" s="31" t="n"/>
      <c r="E14" s="32" t="n"/>
      <c r="F14" s="33" t="n"/>
      <c r="G14" s="33" t="n"/>
      <c r="H14" s="33" t="n"/>
      <c r="I14" s="34">
        <f>IF(OR(J14="G",J14="D"),0,IF(AND(F14="",G14=""),0,MAX(0,IFERROR(F14+0,0)+IFERROR(G14+0,0)-IFERROR(H14+0,0))))</f>
        <v/>
      </c>
      <c r="J14" s="35" t="n"/>
      <c r="K14" s="33" t="n"/>
      <c r="L14" s="33" t="n"/>
      <c r="M14" s="33" t="n"/>
      <c r="N14" s="34">
        <f>IF(OR(O14="G",O14="D"),0,IF(AND(K14="",L14=""),0,MAX(0,IFERROR(K14+0,0)+IFERROR(L14+0,0)-IFERROR(M14+0,0))))</f>
        <v/>
      </c>
      <c r="O14" s="35" t="n"/>
      <c r="P14" s="33" t="n"/>
      <c r="Q14" s="33" t="n"/>
      <c r="R14" s="33" t="n"/>
      <c r="S14" s="34">
        <f>IF(OR(T14="G",T14="D"),0,IF(AND(P14="",Q14=""),0,MAX(0,IFERROR(P14+0,0)+IFERROR(Q14+0,0)-IFERROR(R14+0,0))))</f>
        <v/>
      </c>
      <c r="T14" s="35" t="n"/>
      <c r="U14" s="33" t="n"/>
      <c r="V14" s="33" t="n"/>
      <c r="W14" s="33" t="n"/>
      <c r="X14" s="34">
        <f>IF(OR(Y14="G",Y14="D"),0,IF(AND(U14="",V14=""),0,MAX(0,IFERROR(U14+0,0)+IFERROR(V14+0,0)-IFERROR(W14+0,0))))</f>
        <v/>
      </c>
      <c r="Y14" s="35" t="n"/>
      <c r="Z14" s="36">
        <f>IF(B14="","",IF(OR(J14="G",J14="D"),0,I14)+IF(OR(O14="G",O14="D"),0,N14)+IF(OR(T14="G",T14="D"),0,S14)+IF(OR(Y14="G",Y14="D"),0,X14))</f>
        <v/>
      </c>
      <c r="AA14" s="37">
        <f>IF(OR(B14="",Z14=0),"-",RANK.EQ(Z14,$Z$6:$Z$45,0))</f>
        <v/>
      </c>
      <c r="AB14" s="35">
        <f>IF(OR(B14="",I14=0),"-",IF(OR(J14="G",J14="D"),IF(J14="G","G","D"),COUNTIF($I$6:$I$45,"&gt;"&amp;I14)+1))</f>
        <v/>
      </c>
      <c r="AC14" s="35">
        <f>IF(OR(B14="",N14=0),"-",IF(OR(O14="G",O14="D"),IF(O14="G","G","D"),COUNTIF($N$6:$N$45,"&gt;"&amp;N14)+1))</f>
        <v/>
      </c>
      <c r="AD14" s="35">
        <f>IF(OR(B14="",S14=0),"-",IF(OR(T14="G",T14="D"),IF(T14="G","G","D"),COUNTIF($S$6:$S$45,"&gt;"&amp;S14)+1))</f>
        <v/>
      </c>
      <c r="AE14" s="35">
        <f>IF(OR(B14="",X14=0),"-",IF(OR(Y14="G",Y14="D"),IF(Y14="G","G","D"),COUNTIF($X$6:$X$45,"&gt;"&amp;X14)+1))</f>
        <v/>
      </c>
    </row>
    <row r="15">
      <c r="A15" s="38" t="n">
        <v>10</v>
      </c>
      <c r="B15" s="39" t="n"/>
      <c r="C15" s="39" t="n"/>
      <c r="D15" s="40" t="n"/>
      <c r="E15" s="41" t="n"/>
      <c r="F15" s="42" t="n"/>
      <c r="G15" s="42" t="n"/>
      <c r="H15" s="42" t="n"/>
      <c r="I15" s="34">
        <f>IF(OR(J15="G",J15="D"),0,IF(AND(F15="",G15=""),0,MAX(0,IFERROR(F15+0,0)+IFERROR(G15+0,0)-IFERROR(H15+0,0))))</f>
        <v/>
      </c>
      <c r="J15" s="43" t="n"/>
      <c r="K15" s="42" t="n"/>
      <c r="L15" s="42" t="n"/>
      <c r="M15" s="42" t="n"/>
      <c r="N15" s="34">
        <f>IF(OR(O15="G",O15="D"),0,IF(AND(K15="",L15=""),0,MAX(0,IFERROR(K15+0,0)+IFERROR(L15+0,0)-IFERROR(M15+0,0))))</f>
        <v/>
      </c>
      <c r="O15" s="43" t="n"/>
      <c r="P15" s="42" t="n"/>
      <c r="Q15" s="42" t="n"/>
      <c r="R15" s="42" t="n"/>
      <c r="S15" s="34">
        <f>IF(OR(T15="G",T15="D"),0,IF(AND(P15="",Q15=""),0,MAX(0,IFERROR(P15+0,0)+IFERROR(Q15+0,0)-IFERROR(R15+0,0))))</f>
        <v/>
      </c>
      <c r="T15" s="43" t="n"/>
      <c r="U15" s="42" t="n"/>
      <c r="V15" s="42" t="n"/>
      <c r="W15" s="42" t="n"/>
      <c r="X15" s="34">
        <f>IF(OR(Y15="G",Y15="D"),0,IF(AND(U15="",V15=""),0,MAX(0,IFERROR(U15+0,0)+IFERROR(V15+0,0)-IFERROR(W15+0,0))))</f>
        <v/>
      </c>
      <c r="Y15" s="43" t="n"/>
      <c r="Z15" s="36">
        <f>IF(B15="","",IF(OR(J15="G",J15="D"),0,I15)+IF(OR(O15="G",O15="D"),0,N15)+IF(OR(T15="G",T15="D"),0,S15)+IF(OR(Y15="G",Y15="D"),0,X15))</f>
        <v/>
      </c>
      <c r="AA15" s="37">
        <f>IF(OR(B15="",Z15=0),"-",RANK.EQ(Z15,$Z$6:$Z$45,0))</f>
        <v/>
      </c>
      <c r="AB15" s="43">
        <f>IF(OR(B15="",I15=0),"-",IF(OR(J15="G",J15="D"),IF(J15="G","G","D"),COUNTIF($I$6:$I$45,"&gt;"&amp;I15)+1))</f>
        <v/>
      </c>
      <c r="AC15" s="43">
        <f>IF(OR(B15="",N15=0),"-",IF(OR(O15="G",O15="D"),IF(O15="G","G","D"),COUNTIF($N$6:$N$45,"&gt;"&amp;N15)+1))</f>
        <v/>
      </c>
      <c r="AD15" s="43">
        <f>IF(OR(B15="",S15=0),"-",IF(OR(T15="G",T15="D"),IF(T15="G","G","D"),COUNTIF($S$6:$S$45,"&gt;"&amp;S15)+1))</f>
        <v/>
      </c>
      <c r="AE15" s="43">
        <f>IF(OR(B15="",X15=0),"-",IF(OR(Y15="G",Y15="D"),IF(Y15="G","G","D"),COUNTIF($X$6:$X$45,"&gt;"&amp;X15)+1))</f>
        <v/>
      </c>
    </row>
    <row r="16">
      <c r="A16" s="29" t="n">
        <v>11</v>
      </c>
      <c r="B16" s="30" t="n"/>
      <c r="C16" s="30" t="n"/>
      <c r="D16" s="31" t="n"/>
      <c r="E16" s="32" t="n"/>
      <c r="F16" s="33" t="n"/>
      <c r="G16" s="33" t="n"/>
      <c r="H16" s="33" t="n"/>
      <c r="I16" s="34">
        <f>IF(OR(J16="G",J16="D"),0,IF(AND(F16="",G16=""),0,MAX(0,IFERROR(F16+0,0)+IFERROR(G16+0,0)-IFERROR(H16+0,0))))</f>
        <v/>
      </c>
      <c r="J16" s="35" t="n"/>
      <c r="K16" s="33" t="n"/>
      <c r="L16" s="33" t="n"/>
      <c r="M16" s="33" t="n"/>
      <c r="N16" s="34">
        <f>IF(OR(O16="G",O16="D"),0,IF(AND(K16="",L16=""),0,MAX(0,IFERROR(K16+0,0)+IFERROR(L16+0,0)-IFERROR(M16+0,0))))</f>
        <v/>
      </c>
      <c r="O16" s="35" t="n"/>
      <c r="P16" s="33" t="n"/>
      <c r="Q16" s="33" t="n"/>
      <c r="R16" s="33" t="n"/>
      <c r="S16" s="34">
        <f>IF(OR(T16="G",T16="D"),0,IF(AND(P16="",Q16=""),0,MAX(0,IFERROR(P16+0,0)+IFERROR(Q16+0,0)-IFERROR(R16+0,0))))</f>
        <v/>
      </c>
      <c r="T16" s="35" t="n"/>
      <c r="U16" s="33" t="n"/>
      <c r="V16" s="33" t="n"/>
      <c r="W16" s="33" t="n"/>
      <c r="X16" s="34">
        <f>IF(OR(Y16="G",Y16="D"),0,IF(AND(U16="",V16=""),0,MAX(0,IFERROR(U16+0,0)+IFERROR(V16+0,0)-IFERROR(W16+0,0))))</f>
        <v/>
      </c>
      <c r="Y16" s="35" t="n"/>
      <c r="Z16" s="36">
        <f>IF(B16="","",IF(OR(J16="G",J16="D"),0,I16)+IF(OR(O16="G",O16="D"),0,N16)+IF(OR(T16="G",T16="D"),0,S16)+IF(OR(Y16="G",Y16="D"),0,X16))</f>
        <v/>
      </c>
      <c r="AA16" s="37">
        <f>IF(OR(B16="",Z16=0),"-",RANK.EQ(Z16,$Z$6:$Z$45,0))</f>
        <v/>
      </c>
      <c r="AB16" s="35">
        <f>IF(OR(B16="",I16=0),"-",IF(OR(J16="G",J16="D"),IF(J16="G","G","D"),COUNTIF($I$6:$I$45,"&gt;"&amp;I16)+1))</f>
        <v/>
      </c>
      <c r="AC16" s="35">
        <f>IF(OR(B16="",N16=0),"-",IF(OR(O16="G",O16="D"),IF(O16="G","G","D"),COUNTIF($N$6:$N$45,"&gt;"&amp;N16)+1))</f>
        <v/>
      </c>
      <c r="AD16" s="35">
        <f>IF(OR(B16="",S16=0),"-",IF(OR(T16="G",T16="D"),IF(T16="G","G","D"),COUNTIF($S$6:$S$45,"&gt;"&amp;S16)+1))</f>
        <v/>
      </c>
      <c r="AE16" s="35">
        <f>IF(OR(B16="",X16=0),"-",IF(OR(Y16="G",Y16="D"),IF(Y16="G","G","D"),COUNTIF($X$6:$X$45,"&gt;"&amp;X16)+1))</f>
        <v/>
      </c>
    </row>
    <row r="17">
      <c r="A17" s="38" t="n">
        <v>12</v>
      </c>
      <c r="B17" s="39" t="n"/>
      <c r="C17" s="39" t="n"/>
      <c r="D17" s="40" t="n"/>
      <c r="E17" s="41" t="n"/>
      <c r="F17" s="42" t="n"/>
      <c r="G17" s="42" t="n"/>
      <c r="H17" s="42" t="n"/>
      <c r="I17" s="34">
        <f>IF(OR(J17="G",J17="D"),0,IF(AND(F17="",G17=""),0,MAX(0,IFERROR(F17+0,0)+IFERROR(G17+0,0)-IFERROR(H17+0,0))))</f>
        <v/>
      </c>
      <c r="J17" s="43" t="n"/>
      <c r="K17" s="42" t="n"/>
      <c r="L17" s="42" t="n"/>
      <c r="M17" s="42" t="n"/>
      <c r="N17" s="34">
        <f>IF(OR(O17="G",O17="D"),0,IF(AND(K17="",L17=""),0,MAX(0,IFERROR(K17+0,0)+IFERROR(L17+0,0)-IFERROR(M17+0,0))))</f>
        <v/>
      </c>
      <c r="O17" s="43" t="n"/>
      <c r="P17" s="42" t="n"/>
      <c r="Q17" s="42" t="n"/>
      <c r="R17" s="42" t="n"/>
      <c r="S17" s="34">
        <f>IF(OR(T17="G",T17="D"),0,IF(AND(P17="",Q17=""),0,MAX(0,IFERROR(P17+0,0)+IFERROR(Q17+0,0)-IFERROR(R17+0,0))))</f>
        <v/>
      </c>
      <c r="T17" s="43" t="n"/>
      <c r="U17" s="42" t="n"/>
      <c r="V17" s="42" t="n"/>
      <c r="W17" s="42" t="n"/>
      <c r="X17" s="34">
        <f>IF(OR(Y17="G",Y17="D"),0,IF(AND(U17="",V17=""),0,MAX(0,IFERROR(U17+0,0)+IFERROR(V17+0,0)-IFERROR(W17+0,0))))</f>
        <v/>
      </c>
      <c r="Y17" s="43" t="n"/>
      <c r="Z17" s="36">
        <f>IF(B17="","",IF(OR(J17="G",J17="D"),0,I17)+IF(OR(O17="G",O17="D"),0,N17)+IF(OR(T17="G",T17="D"),0,S17)+IF(OR(Y17="G",Y17="D"),0,X17))</f>
        <v/>
      </c>
      <c r="AA17" s="37">
        <f>IF(OR(B17="",Z17=0),"-",RANK.EQ(Z17,$Z$6:$Z$45,0))</f>
        <v/>
      </c>
      <c r="AB17" s="43">
        <f>IF(OR(B17="",I17=0),"-",IF(OR(J17="G",J17="D"),IF(J17="G","G","D"),COUNTIF($I$6:$I$45,"&gt;"&amp;I17)+1))</f>
        <v/>
      </c>
      <c r="AC17" s="43">
        <f>IF(OR(B17="",N17=0),"-",IF(OR(O17="G",O17="D"),IF(O17="G","G","D"),COUNTIF($N$6:$N$45,"&gt;"&amp;N17)+1))</f>
        <v/>
      </c>
      <c r="AD17" s="43">
        <f>IF(OR(B17="",S17=0),"-",IF(OR(T17="G",T17="D"),IF(T17="G","G","D"),COUNTIF($S$6:$S$45,"&gt;"&amp;S17)+1))</f>
        <v/>
      </c>
      <c r="AE17" s="43">
        <f>IF(OR(B17="",X17=0),"-",IF(OR(Y17="G",Y17="D"),IF(Y17="G","G","D"),COUNTIF($X$6:$X$45,"&gt;"&amp;X17)+1))</f>
        <v/>
      </c>
    </row>
    <row r="18">
      <c r="A18" s="29" t="n">
        <v>13</v>
      </c>
      <c r="B18" s="30" t="n"/>
      <c r="C18" s="30" t="n"/>
      <c r="D18" s="31" t="n"/>
      <c r="E18" s="32" t="n"/>
      <c r="F18" s="33" t="n"/>
      <c r="G18" s="33" t="n"/>
      <c r="H18" s="33" t="n"/>
      <c r="I18" s="34">
        <f>IF(OR(J18="G",J18="D"),0,IF(AND(F18="",G18=""),0,MAX(0,IFERROR(F18+0,0)+IFERROR(G18+0,0)-IFERROR(H18+0,0))))</f>
        <v/>
      </c>
      <c r="J18" s="35" t="n"/>
      <c r="K18" s="33" t="n"/>
      <c r="L18" s="33" t="n"/>
      <c r="M18" s="33" t="n"/>
      <c r="N18" s="34">
        <f>IF(OR(O18="G",O18="D"),0,IF(AND(K18="",L18=""),0,MAX(0,IFERROR(K18+0,0)+IFERROR(L18+0,0)-IFERROR(M18+0,0))))</f>
        <v/>
      </c>
      <c r="O18" s="35" t="n"/>
      <c r="P18" s="33" t="n"/>
      <c r="Q18" s="33" t="n"/>
      <c r="R18" s="33" t="n"/>
      <c r="S18" s="34">
        <f>IF(OR(T18="G",T18="D"),0,IF(AND(P18="",Q18=""),0,MAX(0,IFERROR(P18+0,0)+IFERROR(Q18+0,0)-IFERROR(R18+0,0))))</f>
        <v/>
      </c>
      <c r="T18" s="35" t="n"/>
      <c r="U18" s="33" t="n"/>
      <c r="V18" s="33" t="n"/>
      <c r="W18" s="33" t="n"/>
      <c r="X18" s="34">
        <f>IF(OR(Y18="G",Y18="D"),0,IF(AND(U18="",V18=""),0,MAX(0,IFERROR(U18+0,0)+IFERROR(V18+0,0)-IFERROR(W18+0,0))))</f>
        <v/>
      </c>
      <c r="Y18" s="35" t="n"/>
      <c r="Z18" s="36">
        <f>IF(B18="","",IF(OR(J18="G",J18="D"),0,I18)+IF(OR(O18="G",O18="D"),0,N18)+IF(OR(T18="G",T18="D"),0,S18)+IF(OR(Y18="G",Y18="D"),0,X18))</f>
        <v/>
      </c>
      <c r="AA18" s="37">
        <f>IF(OR(B18="",Z18=0),"-",RANK.EQ(Z18,$Z$6:$Z$45,0))</f>
        <v/>
      </c>
      <c r="AB18" s="35">
        <f>IF(OR(B18="",I18=0),"-",IF(OR(J18="G",J18="D"),IF(J18="G","G","D"),COUNTIF($I$6:$I$45,"&gt;"&amp;I18)+1))</f>
        <v/>
      </c>
      <c r="AC18" s="35">
        <f>IF(OR(B18="",N18=0),"-",IF(OR(O18="G",O18="D"),IF(O18="G","G","D"),COUNTIF($N$6:$N$45,"&gt;"&amp;N18)+1))</f>
        <v/>
      </c>
      <c r="AD18" s="35">
        <f>IF(OR(B18="",S18=0),"-",IF(OR(T18="G",T18="D"),IF(T18="G","G","D"),COUNTIF($S$6:$S$45,"&gt;"&amp;S18)+1))</f>
        <v/>
      </c>
      <c r="AE18" s="35">
        <f>IF(OR(B18="",X18=0),"-",IF(OR(Y18="G",Y18="D"),IF(Y18="G","G","D"),COUNTIF($X$6:$X$45,"&gt;"&amp;X18)+1))</f>
        <v/>
      </c>
    </row>
    <row r="19">
      <c r="A19" s="38" t="n">
        <v>14</v>
      </c>
      <c r="B19" s="39" t="n"/>
      <c r="C19" s="39" t="n"/>
      <c r="D19" s="40" t="n"/>
      <c r="E19" s="41" t="n"/>
      <c r="F19" s="42" t="n"/>
      <c r="G19" s="42" t="n"/>
      <c r="H19" s="42" t="n"/>
      <c r="I19" s="34">
        <f>IF(OR(J19="G",J19="D"),0,IF(AND(F19="",G19=""),0,MAX(0,IFERROR(F19+0,0)+IFERROR(G19+0,0)-IFERROR(H19+0,0))))</f>
        <v/>
      </c>
      <c r="J19" s="43" t="n"/>
      <c r="K19" s="42" t="n"/>
      <c r="L19" s="42" t="n"/>
      <c r="M19" s="42" t="n"/>
      <c r="N19" s="34">
        <f>IF(OR(O19="G",O19="D"),0,IF(AND(K19="",L19=""),0,MAX(0,IFERROR(K19+0,0)+IFERROR(L19+0,0)-IFERROR(M19+0,0))))</f>
        <v/>
      </c>
      <c r="O19" s="43" t="n"/>
      <c r="P19" s="42" t="n"/>
      <c r="Q19" s="42" t="n"/>
      <c r="R19" s="42" t="n"/>
      <c r="S19" s="34">
        <f>IF(OR(T19="G",T19="D"),0,IF(AND(P19="",Q19=""),0,MAX(0,IFERROR(P19+0,0)+IFERROR(Q19+0,0)-IFERROR(R19+0,0))))</f>
        <v/>
      </c>
      <c r="T19" s="43" t="n"/>
      <c r="U19" s="42" t="n"/>
      <c r="V19" s="42" t="n"/>
      <c r="W19" s="42" t="n"/>
      <c r="X19" s="34">
        <f>IF(OR(Y19="G",Y19="D"),0,IF(AND(U19="",V19=""),0,MAX(0,IFERROR(U19+0,0)+IFERROR(V19+0,0)-IFERROR(W19+0,0))))</f>
        <v/>
      </c>
      <c r="Y19" s="43" t="n"/>
      <c r="Z19" s="36">
        <f>IF(B19="","",IF(OR(J19="G",J19="D"),0,I19)+IF(OR(O19="G",O19="D"),0,N19)+IF(OR(T19="G",T19="D"),0,S19)+IF(OR(Y19="G",Y19="D"),0,X19))</f>
        <v/>
      </c>
      <c r="AA19" s="37">
        <f>IF(OR(B19="",Z19=0),"-",RANK.EQ(Z19,$Z$6:$Z$45,0))</f>
        <v/>
      </c>
      <c r="AB19" s="43">
        <f>IF(OR(B19="",I19=0),"-",IF(OR(J19="G",J19="D"),IF(J19="G","G","D"),COUNTIF($I$6:$I$45,"&gt;"&amp;I19)+1))</f>
        <v/>
      </c>
      <c r="AC19" s="43">
        <f>IF(OR(B19="",N19=0),"-",IF(OR(O19="G",O19="D"),IF(O19="G","G","D"),COUNTIF($N$6:$N$45,"&gt;"&amp;N19)+1))</f>
        <v/>
      </c>
      <c r="AD19" s="43">
        <f>IF(OR(B19="",S19=0),"-",IF(OR(T19="G",T19="D"),IF(T19="G","G","D"),COUNTIF($S$6:$S$45,"&gt;"&amp;S19)+1))</f>
        <v/>
      </c>
      <c r="AE19" s="43">
        <f>IF(OR(B19="",X19=0),"-",IF(OR(Y19="G",Y19="D"),IF(Y19="G","G","D"),COUNTIF($X$6:$X$45,"&gt;"&amp;X19)+1))</f>
        <v/>
      </c>
    </row>
    <row r="20">
      <c r="A20" s="29" t="n">
        <v>15</v>
      </c>
      <c r="B20" s="30" t="n"/>
      <c r="C20" s="30" t="n"/>
      <c r="D20" s="31" t="n"/>
      <c r="E20" s="32" t="n"/>
      <c r="F20" s="33" t="n"/>
      <c r="G20" s="33" t="n"/>
      <c r="H20" s="33" t="n"/>
      <c r="I20" s="34">
        <f>IF(OR(J20="G",J20="D"),0,IF(AND(F20="",G20=""),0,MAX(0,IFERROR(F20+0,0)+IFERROR(G20+0,0)-IFERROR(H20+0,0))))</f>
        <v/>
      </c>
      <c r="J20" s="35" t="n"/>
      <c r="K20" s="33" t="n"/>
      <c r="L20" s="33" t="n"/>
      <c r="M20" s="33" t="n"/>
      <c r="N20" s="34">
        <f>IF(OR(O20="G",O20="D"),0,IF(AND(K20="",L20=""),0,MAX(0,IFERROR(K20+0,0)+IFERROR(L20+0,0)-IFERROR(M20+0,0))))</f>
        <v/>
      </c>
      <c r="O20" s="35" t="n"/>
      <c r="P20" s="33" t="n"/>
      <c r="Q20" s="33" t="n"/>
      <c r="R20" s="33" t="n"/>
      <c r="S20" s="34">
        <f>IF(OR(T20="G",T20="D"),0,IF(AND(P20="",Q20=""),0,MAX(0,IFERROR(P20+0,0)+IFERROR(Q20+0,0)-IFERROR(R20+0,0))))</f>
        <v/>
      </c>
      <c r="T20" s="35" t="n"/>
      <c r="U20" s="33" t="n"/>
      <c r="V20" s="33" t="n"/>
      <c r="W20" s="33" t="n"/>
      <c r="X20" s="34">
        <f>IF(OR(Y20="G",Y20="D"),0,IF(AND(U20="",V20=""),0,MAX(0,IFERROR(U20+0,0)+IFERROR(V20+0,0)-IFERROR(W20+0,0))))</f>
        <v/>
      </c>
      <c r="Y20" s="35" t="n"/>
      <c r="Z20" s="36">
        <f>IF(B20="","",IF(OR(J20="G",J20="D"),0,I20)+IF(OR(O20="G",O20="D"),0,N20)+IF(OR(T20="G",T20="D"),0,S20)+IF(OR(Y20="G",Y20="D"),0,X20))</f>
        <v/>
      </c>
      <c r="AA20" s="37">
        <f>IF(OR(B20="",Z20=0),"-",RANK.EQ(Z20,$Z$6:$Z$45,0))</f>
        <v/>
      </c>
      <c r="AB20" s="35">
        <f>IF(OR(B20="",I20=0),"-",IF(OR(J20="G",J20="D"),IF(J20="G","G","D"),COUNTIF($I$6:$I$45,"&gt;"&amp;I20)+1))</f>
        <v/>
      </c>
      <c r="AC20" s="35">
        <f>IF(OR(B20="",N20=0),"-",IF(OR(O20="G",O20="D"),IF(O20="G","G","D"),COUNTIF($N$6:$N$45,"&gt;"&amp;N20)+1))</f>
        <v/>
      </c>
      <c r="AD20" s="35">
        <f>IF(OR(B20="",S20=0),"-",IF(OR(T20="G",T20="D"),IF(T20="G","G","D"),COUNTIF($S$6:$S$45,"&gt;"&amp;S20)+1))</f>
        <v/>
      </c>
      <c r="AE20" s="35">
        <f>IF(OR(B20="",X20=0),"-",IF(OR(Y20="G",Y20="D"),IF(Y20="G","G","D"),COUNTIF($X$6:$X$45,"&gt;"&amp;X20)+1))</f>
        <v/>
      </c>
    </row>
    <row r="21">
      <c r="A21" s="38" t="n">
        <v>16</v>
      </c>
      <c r="B21" s="39" t="n"/>
      <c r="C21" s="39" t="n"/>
      <c r="D21" s="40" t="n"/>
      <c r="E21" s="41" t="n"/>
      <c r="F21" s="42" t="n"/>
      <c r="G21" s="42" t="n"/>
      <c r="H21" s="42" t="n"/>
      <c r="I21" s="34">
        <f>IF(OR(J21="G",J21="D"),0,IF(AND(F21="",G21=""),0,MAX(0,IFERROR(F21+0,0)+IFERROR(G21+0,0)-IFERROR(H21+0,0))))</f>
        <v/>
      </c>
      <c r="J21" s="43" t="n"/>
      <c r="K21" s="42" t="n"/>
      <c r="L21" s="42" t="n"/>
      <c r="M21" s="42" t="n"/>
      <c r="N21" s="34">
        <f>IF(OR(O21="G",O21="D"),0,IF(AND(K21="",L21=""),0,MAX(0,IFERROR(K21+0,0)+IFERROR(L21+0,0)-IFERROR(M21+0,0))))</f>
        <v/>
      </c>
      <c r="O21" s="43" t="n"/>
      <c r="P21" s="42" t="n"/>
      <c r="Q21" s="42" t="n"/>
      <c r="R21" s="42" t="n"/>
      <c r="S21" s="34">
        <f>IF(OR(T21="G",T21="D"),0,IF(AND(P21="",Q21=""),0,MAX(0,IFERROR(P21+0,0)+IFERROR(Q21+0,0)-IFERROR(R21+0,0))))</f>
        <v/>
      </c>
      <c r="T21" s="43" t="n"/>
      <c r="U21" s="42" t="n"/>
      <c r="V21" s="42" t="n"/>
      <c r="W21" s="42" t="n"/>
      <c r="X21" s="34">
        <f>IF(OR(Y21="G",Y21="D"),0,IF(AND(U21="",V21=""),0,MAX(0,IFERROR(U21+0,0)+IFERROR(V21+0,0)-IFERROR(W21+0,0))))</f>
        <v/>
      </c>
      <c r="Y21" s="43" t="n"/>
      <c r="Z21" s="36">
        <f>IF(B21="","",IF(OR(J21="G",J21="D"),0,I21)+IF(OR(O21="G",O21="D"),0,N21)+IF(OR(T21="G",T21="D"),0,S21)+IF(OR(Y21="G",Y21="D"),0,X21))</f>
        <v/>
      </c>
      <c r="AA21" s="37">
        <f>IF(OR(B21="",Z21=0),"-",RANK.EQ(Z21,$Z$6:$Z$45,0))</f>
        <v/>
      </c>
      <c r="AB21" s="43">
        <f>IF(OR(B21="",I21=0),"-",IF(OR(J21="G",J21="D"),IF(J21="G","G","D"),COUNTIF($I$6:$I$45,"&gt;"&amp;I21)+1))</f>
        <v/>
      </c>
      <c r="AC21" s="43">
        <f>IF(OR(B21="",N21=0),"-",IF(OR(O21="G",O21="D"),IF(O21="G","G","D"),COUNTIF($N$6:$N$45,"&gt;"&amp;N21)+1))</f>
        <v/>
      </c>
      <c r="AD21" s="43">
        <f>IF(OR(B21="",S21=0),"-",IF(OR(T21="G",T21="D"),IF(T21="G","G","D"),COUNTIF($S$6:$S$45,"&gt;"&amp;S21)+1))</f>
        <v/>
      </c>
      <c r="AE21" s="43">
        <f>IF(OR(B21="",X21=0),"-",IF(OR(Y21="G",Y21="D"),IF(Y21="G","G","D"),COUNTIF($X$6:$X$45,"&gt;"&amp;X21)+1))</f>
        <v/>
      </c>
    </row>
    <row r="22">
      <c r="A22" s="29" t="n">
        <v>17</v>
      </c>
      <c r="B22" s="30" t="n"/>
      <c r="C22" s="30" t="n"/>
      <c r="D22" s="31" t="n"/>
      <c r="E22" s="32" t="n"/>
      <c r="F22" s="33" t="n"/>
      <c r="G22" s="33" t="n"/>
      <c r="H22" s="33" t="n"/>
      <c r="I22" s="34">
        <f>IF(OR(J22="G",J22="D"),0,IF(AND(F22="",G22=""),0,MAX(0,IFERROR(F22+0,0)+IFERROR(G22+0,0)-IFERROR(H22+0,0))))</f>
        <v/>
      </c>
      <c r="J22" s="35" t="n"/>
      <c r="K22" s="33" t="n"/>
      <c r="L22" s="33" t="n"/>
      <c r="M22" s="33" t="n"/>
      <c r="N22" s="34">
        <f>IF(OR(O22="G",O22="D"),0,IF(AND(K22="",L22=""),0,MAX(0,IFERROR(K22+0,0)+IFERROR(L22+0,0)-IFERROR(M22+0,0))))</f>
        <v/>
      </c>
      <c r="O22" s="35" t="n"/>
      <c r="P22" s="33" t="n"/>
      <c r="Q22" s="33" t="n"/>
      <c r="R22" s="33" t="n"/>
      <c r="S22" s="34">
        <f>IF(OR(T22="G",T22="D"),0,IF(AND(P22="",Q22=""),0,MAX(0,IFERROR(P22+0,0)+IFERROR(Q22+0,0)-IFERROR(R22+0,0))))</f>
        <v/>
      </c>
      <c r="T22" s="35" t="n"/>
      <c r="U22" s="33" t="n"/>
      <c r="V22" s="33" t="n"/>
      <c r="W22" s="33" t="n"/>
      <c r="X22" s="34">
        <f>IF(OR(Y22="G",Y22="D"),0,IF(AND(U22="",V22=""),0,MAX(0,IFERROR(U22+0,0)+IFERROR(V22+0,0)-IFERROR(W22+0,0))))</f>
        <v/>
      </c>
      <c r="Y22" s="35" t="n"/>
      <c r="Z22" s="36">
        <f>IF(B22="","",IF(OR(J22="G",J22="D"),0,I22)+IF(OR(O22="G",O22="D"),0,N22)+IF(OR(T22="G",T22="D"),0,S22)+IF(OR(Y22="G",Y22="D"),0,X22))</f>
        <v/>
      </c>
      <c r="AA22" s="37">
        <f>IF(OR(B22="",Z22=0),"-",RANK.EQ(Z22,$Z$6:$Z$45,0))</f>
        <v/>
      </c>
      <c r="AB22" s="35">
        <f>IF(OR(B22="",I22=0),"-",IF(OR(J22="G",J22="D"),IF(J22="G","G","D"),COUNTIF($I$6:$I$45,"&gt;"&amp;I22)+1))</f>
        <v/>
      </c>
      <c r="AC22" s="35">
        <f>IF(OR(B22="",N22=0),"-",IF(OR(O22="G",O22="D"),IF(O22="G","G","D"),COUNTIF($N$6:$N$45,"&gt;"&amp;N22)+1))</f>
        <v/>
      </c>
      <c r="AD22" s="35">
        <f>IF(OR(B22="",S22=0),"-",IF(OR(T22="G",T22="D"),IF(T22="G","G","D"),COUNTIF($S$6:$S$45,"&gt;"&amp;S22)+1))</f>
        <v/>
      </c>
      <c r="AE22" s="35">
        <f>IF(OR(B22="",X22=0),"-",IF(OR(Y22="G",Y22="D"),IF(Y22="G","G","D"),COUNTIF($X$6:$X$45,"&gt;"&amp;X22)+1))</f>
        <v/>
      </c>
    </row>
    <row r="23">
      <c r="A23" s="38" t="n">
        <v>18</v>
      </c>
      <c r="B23" s="39" t="n"/>
      <c r="C23" s="39" t="n"/>
      <c r="D23" s="40" t="n"/>
      <c r="E23" s="41" t="n"/>
      <c r="F23" s="42" t="n"/>
      <c r="G23" s="42" t="n"/>
      <c r="H23" s="42" t="n"/>
      <c r="I23" s="34">
        <f>IF(OR(J23="G",J23="D"),0,IF(AND(F23="",G23=""),0,MAX(0,IFERROR(F23+0,0)+IFERROR(G23+0,0)-IFERROR(H23+0,0))))</f>
        <v/>
      </c>
      <c r="J23" s="43" t="n"/>
      <c r="K23" s="42" t="n"/>
      <c r="L23" s="42" t="n"/>
      <c r="M23" s="42" t="n"/>
      <c r="N23" s="34">
        <f>IF(OR(O23="G",O23="D"),0,IF(AND(K23="",L23=""),0,MAX(0,IFERROR(K23+0,0)+IFERROR(L23+0,0)-IFERROR(M23+0,0))))</f>
        <v/>
      </c>
      <c r="O23" s="43" t="n"/>
      <c r="P23" s="42" t="n"/>
      <c r="Q23" s="42" t="n"/>
      <c r="R23" s="42" t="n"/>
      <c r="S23" s="34">
        <f>IF(OR(T23="G",T23="D"),0,IF(AND(P23="",Q23=""),0,MAX(0,IFERROR(P23+0,0)+IFERROR(Q23+0,0)-IFERROR(R23+0,0))))</f>
        <v/>
      </c>
      <c r="T23" s="43" t="n"/>
      <c r="U23" s="42" t="n"/>
      <c r="V23" s="42" t="n"/>
      <c r="W23" s="42" t="n"/>
      <c r="X23" s="34">
        <f>IF(OR(Y23="G",Y23="D"),0,IF(AND(U23="",V23=""),0,MAX(0,IFERROR(U23+0,0)+IFERROR(V23+0,0)-IFERROR(W23+0,0))))</f>
        <v/>
      </c>
      <c r="Y23" s="43" t="n"/>
      <c r="Z23" s="36">
        <f>IF(B23="","",IF(OR(J23="G",J23="D"),0,I23)+IF(OR(O23="G",O23="D"),0,N23)+IF(OR(T23="G",T23="D"),0,S23)+IF(OR(Y23="G",Y23="D"),0,X23))</f>
        <v/>
      </c>
      <c r="AA23" s="37">
        <f>IF(OR(B23="",Z23=0),"-",RANK.EQ(Z23,$Z$6:$Z$45,0))</f>
        <v/>
      </c>
      <c r="AB23" s="43">
        <f>IF(OR(B23="",I23=0),"-",IF(OR(J23="G",J23="D"),IF(J23="G","G","D"),COUNTIF($I$6:$I$45,"&gt;"&amp;I23)+1))</f>
        <v/>
      </c>
      <c r="AC23" s="43">
        <f>IF(OR(B23="",N23=0),"-",IF(OR(O23="G",O23="D"),IF(O23="G","G","D"),COUNTIF($N$6:$N$45,"&gt;"&amp;N23)+1))</f>
        <v/>
      </c>
      <c r="AD23" s="43">
        <f>IF(OR(B23="",S23=0),"-",IF(OR(T23="G",T23="D"),IF(T23="G","G","D"),COUNTIF($S$6:$S$45,"&gt;"&amp;S23)+1))</f>
        <v/>
      </c>
      <c r="AE23" s="43">
        <f>IF(OR(B23="",X23=0),"-",IF(OR(Y23="G",Y23="D"),IF(Y23="G","G","D"),COUNTIF($X$6:$X$45,"&gt;"&amp;X23)+1))</f>
        <v/>
      </c>
    </row>
    <row r="24">
      <c r="A24" s="29" t="n">
        <v>19</v>
      </c>
      <c r="B24" s="30" t="n"/>
      <c r="C24" s="30" t="n"/>
      <c r="D24" s="31" t="n"/>
      <c r="E24" s="32" t="n"/>
      <c r="F24" s="33" t="n"/>
      <c r="G24" s="33" t="n"/>
      <c r="H24" s="33" t="n"/>
      <c r="I24" s="34">
        <f>IF(OR(J24="G",J24="D"),0,IF(AND(F24="",G24=""),0,MAX(0,IFERROR(F24+0,0)+IFERROR(G24+0,0)-IFERROR(H24+0,0))))</f>
        <v/>
      </c>
      <c r="J24" s="35" t="n"/>
      <c r="K24" s="33" t="n"/>
      <c r="L24" s="33" t="n"/>
      <c r="M24" s="33" t="n"/>
      <c r="N24" s="34">
        <f>IF(OR(O24="G",O24="D"),0,IF(AND(K24="",L24=""),0,MAX(0,IFERROR(K24+0,0)+IFERROR(L24+0,0)-IFERROR(M24+0,0))))</f>
        <v/>
      </c>
      <c r="O24" s="35" t="n"/>
      <c r="P24" s="33" t="n"/>
      <c r="Q24" s="33" t="n"/>
      <c r="R24" s="33" t="n"/>
      <c r="S24" s="34">
        <f>IF(OR(T24="G",T24="D"),0,IF(AND(P24="",Q24=""),0,MAX(0,IFERROR(P24+0,0)+IFERROR(Q24+0,0)-IFERROR(R24+0,0))))</f>
        <v/>
      </c>
      <c r="T24" s="35" t="n"/>
      <c r="U24" s="33" t="n"/>
      <c r="V24" s="33" t="n"/>
      <c r="W24" s="33" t="n"/>
      <c r="X24" s="34">
        <f>IF(OR(Y24="G",Y24="D"),0,IF(AND(U24="",V24=""),0,MAX(0,IFERROR(U24+0,0)+IFERROR(V24+0,0)-IFERROR(W24+0,0))))</f>
        <v/>
      </c>
      <c r="Y24" s="35" t="n"/>
      <c r="Z24" s="36">
        <f>IF(B24="","",IF(OR(J24="G",J24="D"),0,I24)+IF(OR(O24="G",O24="D"),0,N24)+IF(OR(T24="G",T24="D"),0,S24)+IF(OR(Y24="G",Y24="D"),0,X24))</f>
        <v/>
      </c>
      <c r="AA24" s="37">
        <f>IF(OR(B24="",Z24=0),"-",RANK.EQ(Z24,$Z$6:$Z$45,0))</f>
        <v/>
      </c>
      <c r="AB24" s="35">
        <f>IF(OR(B24="",I24=0),"-",IF(OR(J24="G",J24="D"),IF(J24="G","G","D"),COUNTIF($I$6:$I$45,"&gt;"&amp;I24)+1))</f>
        <v/>
      </c>
      <c r="AC24" s="35">
        <f>IF(OR(B24="",N24=0),"-",IF(OR(O24="G",O24="D"),IF(O24="G","G","D"),COUNTIF($N$6:$N$45,"&gt;"&amp;N24)+1))</f>
        <v/>
      </c>
      <c r="AD24" s="35">
        <f>IF(OR(B24="",S24=0),"-",IF(OR(T24="G",T24="D"),IF(T24="G","G","D"),COUNTIF($S$6:$S$45,"&gt;"&amp;S24)+1))</f>
        <v/>
      </c>
      <c r="AE24" s="35">
        <f>IF(OR(B24="",X24=0),"-",IF(OR(Y24="G",Y24="D"),IF(Y24="G","G","D"),COUNTIF($X$6:$X$45,"&gt;"&amp;X24)+1))</f>
        <v/>
      </c>
    </row>
    <row r="25">
      <c r="A25" s="38" t="n">
        <v>20</v>
      </c>
      <c r="B25" s="39" t="n"/>
      <c r="C25" s="39" t="n"/>
      <c r="D25" s="40" t="n"/>
      <c r="E25" s="41" t="n"/>
      <c r="F25" s="42" t="n"/>
      <c r="G25" s="42" t="n"/>
      <c r="H25" s="42" t="n"/>
      <c r="I25" s="34">
        <f>IF(OR(J25="G",J25="D"),0,IF(AND(F25="",G25=""),0,MAX(0,IFERROR(F25+0,0)+IFERROR(G25+0,0)-IFERROR(H25+0,0))))</f>
        <v/>
      </c>
      <c r="J25" s="43" t="n"/>
      <c r="K25" s="42" t="n"/>
      <c r="L25" s="42" t="n"/>
      <c r="M25" s="42" t="n"/>
      <c r="N25" s="34">
        <f>IF(OR(O25="G",O25="D"),0,IF(AND(K25="",L25=""),0,MAX(0,IFERROR(K25+0,0)+IFERROR(L25+0,0)-IFERROR(M25+0,0))))</f>
        <v/>
      </c>
      <c r="O25" s="43" t="n"/>
      <c r="P25" s="42" t="n"/>
      <c r="Q25" s="42" t="n"/>
      <c r="R25" s="42" t="n"/>
      <c r="S25" s="34">
        <f>IF(OR(T25="G",T25="D"),0,IF(AND(P25="",Q25=""),0,MAX(0,IFERROR(P25+0,0)+IFERROR(Q25+0,0)-IFERROR(R25+0,0))))</f>
        <v/>
      </c>
      <c r="T25" s="43" t="n"/>
      <c r="U25" s="42" t="n"/>
      <c r="V25" s="42" t="n"/>
      <c r="W25" s="42" t="n"/>
      <c r="X25" s="34">
        <f>IF(OR(Y25="G",Y25="D"),0,IF(AND(U25="",V25=""),0,MAX(0,IFERROR(U25+0,0)+IFERROR(V25+0,0)-IFERROR(W25+0,0))))</f>
        <v/>
      </c>
      <c r="Y25" s="43" t="n"/>
      <c r="Z25" s="36">
        <f>IF(B25="","",IF(OR(J25="G",J25="D"),0,I25)+IF(OR(O25="G",O25="D"),0,N25)+IF(OR(T25="G",T25="D"),0,S25)+IF(OR(Y25="G",Y25="D"),0,X25))</f>
        <v/>
      </c>
      <c r="AA25" s="37">
        <f>IF(OR(B25="",Z25=0),"-",RANK.EQ(Z25,$Z$6:$Z$45,0))</f>
        <v/>
      </c>
      <c r="AB25" s="43">
        <f>IF(OR(B25="",I25=0),"-",IF(OR(J25="G",J25="D"),IF(J25="G","G","D"),COUNTIF($I$6:$I$45,"&gt;"&amp;I25)+1))</f>
        <v/>
      </c>
      <c r="AC25" s="43">
        <f>IF(OR(B25="",N25=0),"-",IF(OR(O25="G",O25="D"),IF(O25="G","G","D"),COUNTIF($N$6:$N$45,"&gt;"&amp;N25)+1))</f>
        <v/>
      </c>
      <c r="AD25" s="43">
        <f>IF(OR(B25="",S25=0),"-",IF(OR(T25="G",T25="D"),IF(T25="G","G","D"),COUNTIF($S$6:$S$45,"&gt;"&amp;S25)+1))</f>
        <v/>
      </c>
      <c r="AE25" s="43">
        <f>IF(OR(B25="",X25=0),"-",IF(OR(Y25="G",Y25="D"),IF(Y25="G","G","D"),COUNTIF($X$6:$X$45,"&gt;"&amp;X25)+1))</f>
        <v/>
      </c>
    </row>
    <row r="26">
      <c r="A26" s="29" t="n">
        <v>21</v>
      </c>
      <c r="B26" s="30" t="n"/>
      <c r="C26" s="30" t="n"/>
      <c r="D26" s="31" t="n"/>
      <c r="E26" s="32" t="n"/>
      <c r="F26" s="33" t="n"/>
      <c r="G26" s="33" t="n"/>
      <c r="H26" s="33" t="n"/>
      <c r="I26" s="34">
        <f>IF(OR(J26="G",J26="D"),0,IF(AND(F26="",G26=""),0,MAX(0,IFERROR(F26+0,0)+IFERROR(G26+0,0)-IFERROR(H26+0,0))))</f>
        <v/>
      </c>
      <c r="J26" s="35" t="n"/>
      <c r="K26" s="33" t="n"/>
      <c r="L26" s="33" t="n"/>
      <c r="M26" s="33" t="n"/>
      <c r="N26" s="34">
        <f>IF(OR(O26="G",O26="D"),0,IF(AND(K26="",L26=""),0,MAX(0,IFERROR(K26+0,0)+IFERROR(L26+0,0)-IFERROR(M26+0,0))))</f>
        <v/>
      </c>
      <c r="O26" s="35" t="n"/>
      <c r="P26" s="33" t="n"/>
      <c r="Q26" s="33" t="n"/>
      <c r="R26" s="33" t="n"/>
      <c r="S26" s="34">
        <f>IF(OR(T26="G",T26="D"),0,IF(AND(P26="",Q26=""),0,MAX(0,IFERROR(P26+0,0)+IFERROR(Q26+0,0)-IFERROR(R26+0,0))))</f>
        <v/>
      </c>
      <c r="T26" s="35" t="n"/>
      <c r="U26" s="33" t="n"/>
      <c r="V26" s="33" t="n"/>
      <c r="W26" s="33" t="n"/>
      <c r="X26" s="34">
        <f>IF(OR(Y26="G",Y26="D"),0,IF(AND(U26="",V26=""),0,MAX(0,IFERROR(U26+0,0)+IFERROR(V26+0,0)-IFERROR(W26+0,0))))</f>
        <v/>
      </c>
      <c r="Y26" s="35" t="n"/>
      <c r="Z26" s="36">
        <f>IF(B26="","",IF(OR(J26="G",J26="D"),0,I26)+IF(OR(O26="G",O26="D"),0,N26)+IF(OR(T26="G",T26="D"),0,S26)+IF(OR(Y26="G",Y26="D"),0,X26))</f>
        <v/>
      </c>
      <c r="AA26" s="37">
        <f>IF(OR(B26="",Z26=0),"-",RANK.EQ(Z26,$Z$6:$Z$45,0))</f>
        <v/>
      </c>
      <c r="AB26" s="35">
        <f>IF(OR(B26="",I26=0),"-",IF(OR(J26="G",J26="D"),IF(J26="G","G","D"),COUNTIF($I$6:$I$45,"&gt;"&amp;I26)+1))</f>
        <v/>
      </c>
      <c r="AC26" s="35">
        <f>IF(OR(B26="",N26=0),"-",IF(OR(O26="G",O26="D"),IF(O26="G","G","D"),COUNTIF($N$6:$N$45,"&gt;"&amp;N26)+1))</f>
        <v/>
      </c>
      <c r="AD26" s="35">
        <f>IF(OR(B26="",S26=0),"-",IF(OR(T26="G",T26="D"),IF(T26="G","G","D"),COUNTIF($S$6:$S$45,"&gt;"&amp;S26)+1))</f>
        <v/>
      </c>
      <c r="AE26" s="35">
        <f>IF(OR(B26="",X26=0),"-",IF(OR(Y26="G",Y26="D"),IF(Y26="G","G","D"),COUNTIF($X$6:$X$45,"&gt;"&amp;X26)+1))</f>
        <v/>
      </c>
    </row>
    <row r="27">
      <c r="A27" s="38" t="n">
        <v>22</v>
      </c>
      <c r="B27" s="39" t="n"/>
      <c r="C27" s="39" t="n"/>
      <c r="D27" s="40" t="n"/>
      <c r="E27" s="41" t="n"/>
      <c r="F27" s="42" t="n"/>
      <c r="G27" s="42" t="n"/>
      <c r="H27" s="42" t="n"/>
      <c r="I27" s="34">
        <f>IF(OR(J27="G",J27="D"),0,IF(AND(F27="",G27=""),0,MAX(0,IFERROR(F27+0,0)+IFERROR(G27+0,0)-IFERROR(H27+0,0))))</f>
        <v/>
      </c>
      <c r="J27" s="43" t="n"/>
      <c r="K27" s="42" t="n"/>
      <c r="L27" s="42" t="n"/>
      <c r="M27" s="42" t="n"/>
      <c r="N27" s="34">
        <f>IF(OR(O27="G",O27="D"),0,IF(AND(K27="",L27=""),0,MAX(0,IFERROR(K27+0,0)+IFERROR(L27+0,0)-IFERROR(M27+0,0))))</f>
        <v/>
      </c>
      <c r="O27" s="43" t="n"/>
      <c r="P27" s="42" t="n"/>
      <c r="Q27" s="42" t="n"/>
      <c r="R27" s="42" t="n"/>
      <c r="S27" s="34">
        <f>IF(OR(T27="G",T27="D"),0,IF(AND(P27="",Q27=""),0,MAX(0,IFERROR(P27+0,0)+IFERROR(Q27+0,0)-IFERROR(R27+0,0))))</f>
        <v/>
      </c>
      <c r="T27" s="43" t="n"/>
      <c r="U27" s="42" t="n"/>
      <c r="V27" s="42" t="n"/>
      <c r="W27" s="42" t="n"/>
      <c r="X27" s="34">
        <f>IF(OR(Y27="G",Y27="D"),0,IF(AND(U27="",V27=""),0,MAX(0,IFERROR(U27+0,0)+IFERROR(V27+0,0)-IFERROR(W27+0,0))))</f>
        <v/>
      </c>
      <c r="Y27" s="43" t="n"/>
      <c r="Z27" s="36">
        <f>IF(B27="","",IF(OR(J27="G",J27="D"),0,I27)+IF(OR(O27="G",O27="D"),0,N27)+IF(OR(T27="G",T27="D"),0,S27)+IF(OR(Y27="G",Y27="D"),0,X27))</f>
        <v/>
      </c>
      <c r="AA27" s="37">
        <f>IF(OR(B27="",Z27=0),"-",RANK.EQ(Z27,$Z$6:$Z$45,0))</f>
        <v/>
      </c>
      <c r="AB27" s="43">
        <f>IF(OR(B27="",I27=0),"-",IF(OR(J27="G",J27="D"),IF(J27="G","G","D"),COUNTIF($I$6:$I$45,"&gt;"&amp;I27)+1))</f>
        <v/>
      </c>
      <c r="AC27" s="43">
        <f>IF(OR(B27="",N27=0),"-",IF(OR(O27="G",O27="D"),IF(O27="G","G","D"),COUNTIF($N$6:$N$45,"&gt;"&amp;N27)+1))</f>
        <v/>
      </c>
      <c r="AD27" s="43">
        <f>IF(OR(B27="",S27=0),"-",IF(OR(T27="G",T27="D"),IF(T27="G","G","D"),COUNTIF($S$6:$S$45,"&gt;"&amp;S27)+1))</f>
        <v/>
      </c>
      <c r="AE27" s="43">
        <f>IF(OR(B27="",X27=0),"-",IF(OR(Y27="G",Y27="D"),IF(Y27="G","G","D"),COUNTIF($X$6:$X$45,"&gt;"&amp;X27)+1))</f>
        <v/>
      </c>
    </row>
    <row r="28">
      <c r="A28" s="29" t="n">
        <v>23</v>
      </c>
      <c r="B28" s="30" t="n"/>
      <c r="C28" s="30" t="n"/>
      <c r="D28" s="31" t="n"/>
      <c r="E28" s="32" t="n"/>
      <c r="F28" s="33" t="n"/>
      <c r="G28" s="33" t="n"/>
      <c r="H28" s="33" t="n"/>
      <c r="I28" s="34">
        <f>IF(OR(J28="G",J28="D"),0,IF(AND(F28="",G28=""),0,MAX(0,IFERROR(F28+0,0)+IFERROR(G28+0,0)-IFERROR(H28+0,0))))</f>
        <v/>
      </c>
      <c r="J28" s="35" t="n"/>
      <c r="K28" s="33" t="n"/>
      <c r="L28" s="33" t="n"/>
      <c r="M28" s="33" t="n"/>
      <c r="N28" s="34">
        <f>IF(OR(O28="G",O28="D"),0,IF(AND(K28="",L28=""),0,MAX(0,IFERROR(K28+0,0)+IFERROR(L28+0,0)-IFERROR(M28+0,0))))</f>
        <v/>
      </c>
      <c r="O28" s="35" t="n"/>
      <c r="P28" s="33" t="n"/>
      <c r="Q28" s="33" t="n"/>
      <c r="R28" s="33" t="n"/>
      <c r="S28" s="34">
        <f>IF(OR(T28="G",T28="D"),0,IF(AND(P28="",Q28=""),0,MAX(0,IFERROR(P28+0,0)+IFERROR(Q28+0,0)-IFERROR(R28+0,0))))</f>
        <v/>
      </c>
      <c r="T28" s="35" t="n"/>
      <c r="U28" s="33" t="n"/>
      <c r="V28" s="33" t="n"/>
      <c r="W28" s="33" t="n"/>
      <c r="X28" s="34">
        <f>IF(OR(Y28="G",Y28="D"),0,IF(AND(U28="",V28=""),0,MAX(0,IFERROR(U28+0,0)+IFERROR(V28+0,0)-IFERROR(W28+0,0))))</f>
        <v/>
      </c>
      <c r="Y28" s="35" t="n"/>
      <c r="Z28" s="36">
        <f>IF(B28="","",IF(OR(J28="G",J28="D"),0,I28)+IF(OR(O28="G",O28="D"),0,N28)+IF(OR(T28="G",T28="D"),0,S28)+IF(OR(Y28="G",Y28="D"),0,X28))</f>
        <v/>
      </c>
      <c r="AA28" s="37">
        <f>IF(OR(B28="",Z28=0),"-",RANK.EQ(Z28,$Z$6:$Z$45,0))</f>
        <v/>
      </c>
      <c r="AB28" s="35">
        <f>IF(OR(B28="",I28=0),"-",IF(OR(J28="G",J28="D"),IF(J28="G","G","D"),COUNTIF($I$6:$I$45,"&gt;"&amp;I28)+1))</f>
        <v/>
      </c>
      <c r="AC28" s="35">
        <f>IF(OR(B28="",N28=0),"-",IF(OR(O28="G",O28="D"),IF(O28="G","G","D"),COUNTIF($N$6:$N$45,"&gt;"&amp;N28)+1))</f>
        <v/>
      </c>
      <c r="AD28" s="35">
        <f>IF(OR(B28="",S28=0),"-",IF(OR(T28="G",T28="D"),IF(T28="G","G","D"),COUNTIF($S$6:$S$45,"&gt;"&amp;S28)+1))</f>
        <v/>
      </c>
      <c r="AE28" s="35">
        <f>IF(OR(B28="",X28=0),"-",IF(OR(Y28="G",Y28="D"),IF(Y28="G","G","D"),COUNTIF($X$6:$X$45,"&gt;"&amp;X28)+1))</f>
        <v/>
      </c>
    </row>
    <row r="29">
      <c r="A29" s="38" t="n">
        <v>24</v>
      </c>
      <c r="B29" s="39" t="n"/>
      <c r="C29" s="39" t="n"/>
      <c r="D29" s="40" t="n"/>
      <c r="E29" s="41" t="n"/>
      <c r="F29" s="42" t="n"/>
      <c r="G29" s="42" t="n"/>
      <c r="H29" s="42" t="n"/>
      <c r="I29" s="34">
        <f>IF(OR(J29="G",J29="D"),0,IF(AND(F29="",G29=""),0,MAX(0,IFERROR(F29+0,0)+IFERROR(G29+0,0)-IFERROR(H29+0,0))))</f>
        <v/>
      </c>
      <c r="J29" s="43" t="n"/>
      <c r="K29" s="42" t="n"/>
      <c r="L29" s="42" t="n"/>
      <c r="M29" s="42" t="n"/>
      <c r="N29" s="34">
        <f>IF(OR(O29="G",O29="D"),0,IF(AND(K29="",L29=""),0,MAX(0,IFERROR(K29+0,0)+IFERROR(L29+0,0)-IFERROR(M29+0,0))))</f>
        <v/>
      </c>
      <c r="O29" s="43" t="n"/>
      <c r="P29" s="42" t="n"/>
      <c r="Q29" s="42" t="n"/>
      <c r="R29" s="42" t="n"/>
      <c r="S29" s="34">
        <f>IF(OR(T29="G",T29="D"),0,IF(AND(P29="",Q29=""),0,MAX(0,IFERROR(P29+0,0)+IFERROR(Q29+0,0)-IFERROR(R29+0,0))))</f>
        <v/>
      </c>
      <c r="T29" s="43" t="n"/>
      <c r="U29" s="42" t="n"/>
      <c r="V29" s="42" t="n"/>
      <c r="W29" s="42" t="n"/>
      <c r="X29" s="34">
        <f>IF(OR(Y29="G",Y29="D"),0,IF(AND(U29="",V29=""),0,MAX(0,IFERROR(U29+0,0)+IFERROR(V29+0,0)-IFERROR(W29+0,0))))</f>
        <v/>
      </c>
      <c r="Y29" s="43" t="n"/>
      <c r="Z29" s="36">
        <f>IF(B29="","",IF(OR(J29="G",J29="D"),0,I29)+IF(OR(O29="G",O29="D"),0,N29)+IF(OR(T29="G",T29="D"),0,S29)+IF(OR(Y29="G",Y29="D"),0,X29))</f>
        <v/>
      </c>
      <c r="AA29" s="37">
        <f>IF(OR(B29="",Z29=0),"-",RANK.EQ(Z29,$Z$6:$Z$45,0))</f>
        <v/>
      </c>
      <c r="AB29" s="43">
        <f>IF(OR(B29="",I29=0),"-",IF(OR(J29="G",J29="D"),IF(J29="G","G","D"),COUNTIF($I$6:$I$45,"&gt;"&amp;I29)+1))</f>
        <v/>
      </c>
      <c r="AC29" s="43">
        <f>IF(OR(B29="",N29=0),"-",IF(OR(O29="G",O29="D"),IF(O29="G","G","D"),COUNTIF($N$6:$N$45,"&gt;"&amp;N29)+1))</f>
        <v/>
      </c>
      <c r="AD29" s="43">
        <f>IF(OR(B29="",S29=0),"-",IF(OR(T29="G",T29="D"),IF(T29="G","G","D"),COUNTIF($S$6:$S$45,"&gt;"&amp;S29)+1))</f>
        <v/>
      </c>
      <c r="AE29" s="43">
        <f>IF(OR(B29="",X29=0),"-",IF(OR(Y29="G",Y29="D"),IF(Y29="G","G","D"),COUNTIF($X$6:$X$45,"&gt;"&amp;X29)+1))</f>
        <v/>
      </c>
    </row>
    <row r="30">
      <c r="A30" s="29" t="n">
        <v>25</v>
      </c>
      <c r="B30" s="30" t="n"/>
      <c r="C30" s="30" t="n"/>
      <c r="D30" s="31" t="n"/>
      <c r="E30" s="32" t="n"/>
      <c r="F30" s="33" t="n"/>
      <c r="G30" s="33" t="n"/>
      <c r="H30" s="33" t="n"/>
      <c r="I30" s="34">
        <f>IF(OR(J30="G",J30="D"),0,IF(AND(F30="",G30=""),0,MAX(0,IFERROR(F30+0,0)+IFERROR(G30+0,0)-IFERROR(H30+0,0))))</f>
        <v/>
      </c>
      <c r="J30" s="35" t="n"/>
      <c r="K30" s="33" t="n"/>
      <c r="L30" s="33" t="n"/>
      <c r="M30" s="33" t="n"/>
      <c r="N30" s="34">
        <f>IF(OR(O30="G",O30="D"),0,IF(AND(K30="",L30=""),0,MAX(0,IFERROR(K30+0,0)+IFERROR(L30+0,0)-IFERROR(M30+0,0))))</f>
        <v/>
      </c>
      <c r="O30" s="35" t="n"/>
      <c r="P30" s="33" t="n"/>
      <c r="Q30" s="33" t="n"/>
      <c r="R30" s="33" t="n"/>
      <c r="S30" s="34">
        <f>IF(OR(T30="G",T30="D"),0,IF(AND(P30="",Q30=""),0,MAX(0,IFERROR(P30+0,0)+IFERROR(Q30+0,0)-IFERROR(R30+0,0))))</f>
        <v/>
      </c>
      <c r="T30" s="35" t="n"/>
      <c r="U30" s="33" t="n"/>
      <c r="V30" s="33" t="n"/>
      <c r="W30" s="33" t="n"/>
      <c r="X30" s="34">
        <f>IF(OR(Y30="G",Y30="D"),0,IF(AND(U30="",V30=""),0,MAX(0,IFERROR(U30+0,0)+IFERROR(V30+0,0)-IFERROR(W30+0,0))))</f>
        <v/>
      </c>
      <c r="Y30" s="35" t="n"/>
      <c r="Z30" s="36">
        <f>IF(B30="","",IF(OR(J30="G",J30="D"),0,I30)+IF(OR(O30="G",O30="D"),0,N30)+IF(OR(T30="G",T30="D"),0,S30)+IF(OR(Y30="G",Y30="D"),0,X30))</f>
        <v/>
      </c>
      <c r="AA30" s="37">
        <f>IF(OR(B30="",Z30=0),"-",RANK.EQ(Z30,$Z$6:$Z$45,0))</f>
        <v/>
      </c>
      <c r="AB30" s="35">
        <f>IF(OR(B30="",I30=0),"-",IF(OR(J30="G",J30="D"),IF(J30="G","G","D"),COUNTIF($I$6:$I$45,"&gt;"&amp;I30)+1))</f>
        <v/>
      </c>
      <c r="AC30" s="35">
        <f>IF(OR(B30="",N30=0),"-",IF(OR(O30="G",O30="D"),IF(O30="G","G","D"),COUNTIF($N$6:$N$45,"&gt;"&amp;N30)+1))</f>
        <v/>
      </c>
      <c r="AD30" s="35">
        <f>IF(OR(B30="",S30=0),"-",IF(OR(T30="G",T30="D"),IF(T30="G","G","D"),COUNTIF($S$6:$S$45,"&gt;"&amp;S30)+1))</f>
        <v/>
      </c>
      <c r="AE30" s="35">
        <f>IF(OR(B30="",X30=0),"-",IF(OR(Y30="G",Y30="D"),IF(Y30="G","G","D"),COUNTIF($X$6:$X$45,"&gt;"&amp;X30)+1))</f>
        <v/>
      </c>
    </row>
    <row r="31">
      <c r="A31" s="38" t="n">
        <v>26</v>
      </c>
      <c r="B31" s="39" t="n"/>
      <c r="C31" s="39" t="n"/>
      <c r="D31" s="40" t="n"/>
      <c r="E31" s="41" t="n"/>
      <c r="F31" s="42" t="n"/>
      <c r="G31" s="42" t="n"/>
      <c r="H31" s="42" t="n"/>
      <c r="I31" s="34">
        <f>IF(OR(J31="G",J31="D"),0,IF(AND(F31="",G31=""),0,MAX(0,IFERROR(F31+0,0)+IFERROR(G31+0,0)-IFERROR(H31+0,0))))</f>
        <v/>
      </c>
      <c r="J31" s="43" t="n"/>
      <c r="K31" s="42" t="n"/>
      <c r="L31" s="42" t="n"/>
      <c r="M31" s="42" t="n"/>
      <c r="N31" s="34">
        <f>IF(OR(O31="G",O31="D"),0,IF(AND(K31="",L31=""),0,MAX(0,IFERROR(K31+0,0)+IFERROR(L31+0,0)-IFERROR(M31+0,0))))</f>
        <v/>
      </c>
      <c r="O31" s="43" t="n"/>
      <c r="P31" s="42" t="n"/>
      <c r="Q31" s="42" t="n"/>
      <c r="R31" s="42" t="n"/>
      <c r="S31" s="34">
        <f>IF(OR(T31="G",T31="D"),0,IF(AND(P31="",Q31=""),0,MAX(0,IFERROR(P31+0,0)+IFERROR(Q31+0,0)-IFERROR(R31+0,0))))</f>
        <v/>
      </c>
      <c r="T31" s="43" t="n"/>
      <c r="U31" s="42" t="n"/>
      <c r="V31" s="42" t="n"/>
      <c r="W31" s="42" t="n"/>
      <c r="X31" s="34">
        <f>IF(OR(Y31="G",Y31="D"),0,IF(AND(U31="",V31=""),0,MAX(0,IFERROR(U31+0,0)+IFERROR(V31+0,0)-IFERROR(W31+0,0))))</f>
        <v/>
      </c>
      <c r="Y31" s="43" t="n"/>
      <c r="Z31" s="36">
        <f>IF(B31="","",IF(OR(J31="G",J31="D"),0,I31)+IF(OR(O31="G",O31="D"),0,N31)+IF(OR(T31="G",T31="D"),0,S31)+IF(OR(Y31="G",Y31="D"),0,X31))</f>
        <v/>
      </c>
      <c r="AA31" s="37">
        <f>IF(OR(B31="",Z31=0),"-",RANK.EQ(Z31,$Z$6:$Z$45,0))</f>
        <v/>
      </c>
      <c r="AB31" s="43">
        <f>IF(OR(B31="",I31=0),"-",IF(OR(J31="G",J31="D"),IF(J31="G","G","D"),COUNTIF($I$6:$I$45,"&gt;"&amp;I31)+1))</f>
        <v/>
      </c>
      <c r="AC31" s="43">
        <f>IF(OR(B31="",N31=0),"-",IF(OR(O31="G",O31="D"),IF(O31="G","G","D"),COUNTIF($N$6:$N$45,"&gt;"&amp;N31)+1))</f>
        <v/>
      </c>
      <c r="AD31" s="43">
        <f>IF(OR(B31="",S31=0),"-",IF(OR(T31="G",T31="D"),IF(T31="G","G","D"),COUNTIF($S$6:$S$45,"&gt;"&amp;S31)+1))</f>
        <v/>
      </c>
      <c r="AE31" s="43">
        <f>IF(OR(B31="",X31=0),"-",IF(OR(Y31="G",Y31="D"),IF(Y31="G","G","D"),COUNTIF($X$6:$X$45,"&gt;"&amp;X31)+1))</f>
        <v/>
      </c>
    </row>
    <row r="32">
      <c r="A32" s="29" t="n">
        <v>27</v>
      </c>
      <c r="B32" s="30" t="n"/>
      <c r="C32" s="30" t="n"/>
      <c r="D32" s="31" t="n"/>
      <c r="E32" s="32" t="n"/>
      <c r="F32" s="33" t="n"/>
      <c r="G32" s="33" t="n"/>
      <c r="H32" s="33" t="n"/>
      <c r="I32" s="34">
        <f>IF(OR(J32="G",J32="D"),0,IF(AND(F32="",G32=""),0,MAX(0,IFERROR(F32+0,0)+IFERROR(G32+0,0)-IFERROR(H32+0,0))))</f>
        <v/>
      </c>
      <c r="J32" s="35" t="n"/>
      <c r="K32" s="33" t="n"/>
      <c r="L32" s="33" t="n"/>
      <c r="M32" s="33" t="n"/>
      <c r="N32" s="34">
        <f>IF(OR(O32="G",O32="D"),0,IF(AND(K32="",L32=""),0,MAX(0,IFERROR(K32+0,0)+IFERROR(L32+0,0)-IFERROR(M32+0,0))))</f>
        <v/>
      </c>
      <c r="O32" s="35" t="n"/>
      <c r="P32" s="33" t="n"/>
      <c r="Q32" s="33" t="n"/>
      <c r="R32" s="33" t="n"/>
      <c r="S32" s="34">
        <f>IF(OR(T32="G",T32="D"),0,IF(AND(P32="",Q32=""),0,MAX(0,IFERROR(P32+0,0)+IFERROR(Q32+0,0)-IFERROR(R32+0,0))))</f>
        <v/>
      </c>
      <c r="T32" s="35" t="n"/>
      <c r="U32" s="33" t="n"/>
      <c r="V32" s="33" t="n"/>
      <c r="W32" s="33" t="n"/>
      <c r="X32" s="34">
        <f>IF(OR(Y32="G",Y32="D"),0,IF(AND(U32="",V32=""),0,MAX(0,IFERROR(U32+0,0)+IFERROR(V32+0,0)-IFERROR(W32+0,0))))</f>
        <v/>
      </c>
      <c r="Y32" s="35" t="n"/>
      <c r="Z32" s="36">
        <f>IF(B32="","",IF(OR(J32="G",J32="D"),0,I32)+IF(OR(O32="G",O32="D"),0,N32)+IF(OR(T32="G",T32="D"),0,S32)+IF(OR(Y32="G",Y32="D"),0,X32))</f>
        <v/>
      </c>
      <c r="AA32" s="37">
        <f>IF(OR(B32="",Z32=0),"-",RANK.EQ(Z32,$Z$6:$Z$45,0))</f>
        <v/>
      </c>
      <c r="AB32" s="35">
        <f>IF(OR(B32="",I32=0),"-",IF(OR(J32="G",J32="D"),IF(J32="G","G","D"),COUNTIF($I$6:$I$45,"&gt;"&amp;I32)+1))</f>
        <v/>
      </c>
      <c r="AC32" s="35">
        <f>IF(OR(B32="",N32=0),"-",IF(OR(O32="G",O32="D"),IF(O32="G","G","D"),COUNTIF($N$6:$N$45,"&gt;"&amp;N32)+1))</f>
        <v/>
      </c>
      <c r="AD32" s="35">
        <f>IF(OR(B32="",S32=0),"-",IF(OR(T32="G",T32="D"),IF(T32="G","G","D"),COUNTIF($S$6:$S$45,"&gt;"&amp;S32)+1))</f>
        <v/>
      </c>
      <c r="AE32" s="35">
        <f>IF(OR(B32="",X32=0),"-",IF(OR(Y32="G",Y32="D"),IF(Y32="G","G","D"),COUNTIF($X$6:$X$45,"&gt;"&amp;X32)+1))</f>
        <v/>
      </c>
    </row>
    <row r="33">
      <c r="A33" s="38" t="n">
        <v>28</v>
      </c>
      <c r="B33" s="39" t="n"/>
      <c r="C33" s="39" t="n"/>
      <c r="D33" s="40" t="n"/>
      <c r="E33" s="41" t="n"/>
      <c r="F33" s="42" t="n"/>
      <c r="G33" s="42" t="n"/>
      <c r="H33" s="42" t="n"/>
      <c r="I33" s="34">
        <f>IF(OR(J33="G",J33="D"),0,IF(AND(F33="",G33=""),0,MAX(0,IFERROR(F33+0,0)+IFERROR(G33+0,0)-IFERROR(H33+0,0))))</f>
        <v/>
      </c>
      <c r="J33" s="43" t="n"/>
      <c r="K33" s="42" t="n"/>
      <c r="L33" s="42" t="n"/>
      <c r="M33" s="42" t="n"/>
      <c r="N33" s="34">
        <f>IF(OR(O33="G",O33="D"),0,IF(AND(K33="",L33=""),0,MAX(0,IFERROR(K33+0,0)+IFERROR(L33+0,0)-IFERROR(M33+0,0))))</f>
        <v/>
      </c>
      <c r="O33" s="43" t="n"/>
      <c r="P33" s="42" t="n"/>
      <c r="Q33" s="42" t="n"/>
      <c r="R33" s="42" t="n"/>
      <c r="S33" s="34">
        <f>IF(OR(T33="G",T33="D"),0,IF(AND(P33="",Q33=""),0,MAX(0,IFERROR(P33+0,0)+IFERROR(Q33+0,0)-IFERROR(R33+0,0))))</f>
        <v/>
      </c>
      <c r="T33" s="43" t="n"/>
      <c r="U33" s="42" t="n"/>
      <c r="V33" s="42" t="n"/>
      <c r="W33" s="42" t="n"/>
      <c r="X33" s="34">
        <f>IF(OR(Y33="G",Y33="D"),0,IF(AND(U33="",V33=""),0,MAX(0,IFERROR(U33+0,0)+IFERROR(V33+0,0)-IFERROR(W33+0,0))))</f>
        <v/>
      </c>
      <c r="Y33" s="43" t="n"/>
      <c r="Z33" s="36">
        <f>IF(B33="","",IF(OR(J33="G",J33="D"),0,I33)+IF(OR(O33="G",O33="D"),0,N33)+IF(OR(T33="G",T33="D"),0,S33)+IF(OR(Y33="G",Y33="D"),0,X33))</f>
        <v/>
      </c>
      <c r="AA33" s="37">
        <f>IF(OR(B33="",Z33=0),"-",RANK.EQ(Z33,$Z$6:$Z$45,0))</f>
        <v/>
      </c>
      <c r="AB33" s="43">
        <f>IF(OR(B33="",I33=0),"-",IF(OR(J33="G",J33="D"),IF(J33="G","G","D"),COUNTIF($I$6:$I$45,"&gt;"&amp;I33)+1))</f>
        <v/>
      </c>
      <c r="AC33" s="43">
        <f>IF(OR(B33="",N33=0),"-",IF(OR(O33="G",O33="D"),IF(O33="G","G","D"),COUNTIF($N$6:$N$45,"&gt;"&amp;N33)+1))</f>
        <v/>
      </c>
      <c r="AD33" s="43">
        <f>IF(OR(B33="",S33=0),"-",IF(OR(T33="G",T33="D"),IF(T33="G","G","D"),COUNTIF($S$6:$S$45,"&gt;"&amp;S33)+1))</f>
        <v/>
      </c>
      <c r="AE33" s="43">
        <f>IF(OR(B33="",X33=0),"-",IF(OR(Y33="G",Y33="D"),IF(Y33="G","G","D"),COUNTIF($X$6:$X$45,"&gt;"&amp;X33)+1))</f>
        <v/>
      </c>
    </row>
    <row r="34">
      <c r="A34" s="29" t="n">
        <v>29</v>
      </c>
      <c r="B34" s="30" t="n"/>
      <c r="C34" s="30" t="n"/>
      <c r="D34" s="31" t="n"/>
      <c r="E34" s="32" t="n"/>
      <c r="F34" s="33" t="n"/>
      <c r="G34" s="33" t="n"/>
      <c r="H34" s="33" t="n"/>
      <c r="I34" s="34">
        <f>IF(OR(J34="G",J34="D"),0,IF(AND(F34="",G34=""),0,MAX(0,IFERROR(F34+0,0)+IFERROR(G34+0,0)-IFERROR(H34+0,0))))</f>
        <v/>
      </c>
      <c r="J34" s="35" t="n"/>
      <c r="K34" s="33" t="n"/>
      <c r="L34" s="33" t="n"/>
      <c r="M34" s="33" t="n"/>
      <c r="N34" s="34">
        <f>IF(OR(O34="G",O34="D"),0,IF(AND(K34="",L34=""),0,MAX(0,IFERROR(K34+0,0)+IFERROR(L34+0,0)-IFERROR(M34+0,0))))</f>
        <v/>
      </c>
      <c r="O34" s="35" t="n"/>
      <c r="P34" s="33" t="n"/>
      <c r="Q34" s="33" t="n"/>
      <c r="R34" s="33" t="n"/>
      <c r="S34" s="34">
        <f>IF(OR(T34="G",T34="D"),0,IF(AND(P34="",Q34=""),0,MAX(0,IFERROR(P34+0,0)+IFERROR(Q34+0,0)-IFERROR(R34+0,0))))</f>
        <v/>
      </c>
      <c r="T34" s="35" t="n"/>
      <c r="U34" s="33" t="n"/>
      <c r="V34" s="33" t="n"/>
      <c r="W34" s="33" t="n"/>
      <c r="X34" s="34">
        <f>IF(OR(Y34="G",Y34="D"),0,IF(AND(U34="",V34=""),0,MAX(0,IFERROR(U34+0,0)+IFERROR(V34+0,0)-IFERROR(W34+0,0))))</f>
        <v/>
      </c>
      <c r="Y34" s="35" t="n"/>
      <c r="Z34" s="36">
        <f>IF(B34="","",IF(OR(J34="G",J34="D"),0,I34)+IF(OR(O34="G",O34="D"),0,N34)+IF(OR(T34="G",T34="D"),0,S34)+IF(OR(Y34="G",Y34="D"),0,X34))</f>
        <v/>
      </c>
      <c r="AA34" s="37">
        <f>IF(OR(B34="",Z34=0),"-",RANK.EQ(Z34,$Z$6:$Z$45,0))</f>
        <v/>
      </c>
      <c r="AB34" s="35">
        <f>IF(OR(B34="",I34=0),"-",IF(OR(J34="G",J34="D"),IF(J34="G","G","D"),COUNTIF($I$6:$I$45,"&gt;"&amp;I34)+1))</f>
        <v/>
      </c>
      <c r="AC34" s="35">
        <f>IF(OR(B34="",N34=0),"-",IF(OR(O34="G",O34="D"),IF(O34="G","G","D"),COUNTIF($N$6:$N$45,"&gt;"&amp;N34)+1))</f>
        <v/>
      </c>
      <c r="AD34" s="35">
        <f>IF(OR(B34="",S34=0),"-",IF(OR(T34="G",T34="D"),IF(T34="G","G","D"),COUNTIF($S$6:$S$45,"&gt;"&amp;S34)+1))</f>
        <v/>
      </c>
      <c r="AE34" s="35">
        <f>IF(OR(B34="",X34=0),"-",IF(OR(Y34="G",Y34="D"),IF(Y34="G","G","D"),COUNTIF($X$6:$X$45,"&gt;"&amp;X34)+1))</f>
        <v/>
      </c>
    </row>
    <row r="35">
      <c r="A35" s="38" t="n">
        <v>30</v>
      </c>
      <c r="B35" s="39" t="n"/>
      <c r="C35" s="39" t="n"/>
      <c r="D35" s="40" t="n"/>
      <c r="E35" s="41" t="n"/>
      <c r="F35" s="42" t="n"/>
      <c r="G35" s="42" t="n"/>
      <c r="H35" s="42" t="n"/>
      <c r="I35" s="34">
        <f>IF(OR(J35="G",J35="D"),0,IF(AND(F35="",G35=""),0,MAX(0,IFERROR(F35+0,0)+IFERROR(G35+0,0)-IFERROR(H35+0,0))))</f>
        <v/>
      </c>
      <c r="J35" s="43" t="n"/>
      <c r="K35" s="42" t="n"/>
      <c r="L35" s="42" t="n"/>
      <c r="M35" s="42" t="n"/>
      <c r="N35" s="34">
        <f>IF(OR(O35="G",O35="D"),0,IF(AND(K35="",L35=""),0,MAX(0,IFERROR(K35+0,0)+IFERROR(L35+0,0)-IFERROR(M35+0,0))))</f>
        <v/>
      </c>
      <c r="O35" s="43" t="n"/>
      <c r="P35" s="42" t="n"/>
      <c r="Q35" s="42" t="n"/>
      <c r="R35" s="42" t="n"/>
      <c r="S35" s="34">
        <f>IF(OR(T35="G",T35="D"),0,IF(AND(P35="",Q35=""),0,MAX(0,IFERROR(P35+0,0)+IFERROR(Q35+0,0)-IFERROR(R35+0,0))))</f>
        <v/>
      </c>
      <c r="T35" s="43" t="n"/>
      <c r="U35" s="42" t="n"/>
      <c r="V35" s="42" t="n"/>
      <c r="W35" s="42" t="n"/>
      <c r="X35" s="34">
        <f>IF(OR(Y35="G",Y35="D"),0,IF(AND(U35="",V35=""),0,MAX(0,IFERROR(U35+0,0)+IFERROR(V35+0,0)-IFERROR(W35+0,0))))</f>
        <v/>
      </c>
      <c r="Y35" s="43" t="n"/>
      <c r="Z35" s="36">
        <f>IF(B35="","",IF(OR(J35="G",J35="D"),0,I35)+IF(OR(O35="G",O35="D"),0,N35)+IF(OR(T35="G",T35="D"),0,S35)+IF(OR(Y35="G",Y35="D"),0,X35))</f>
        <v/>
      </c>
      <c r="AA35" s="37">
        <f>IF(OR(B35="",Z35=0),"-",RANK.EQ(Z35,$Z$6:$Z$45,0))</f>
        <v/>
      </c>
      <c r="AB35" s="43">
        <f>IF(OR(B35="",I35=0),"-",IF(OR(J35="G",J35="D"),IF(J35="G","G","D"),COUNTIF($I$6:$I$45,"&gt;"&amp;I35)+1))</f>
        <v/>
      </c>
      <c r="AC35" s="43">
        <f>IF(OR(B35="",N35=0),"-",IF(OR(O35="G",O35="D"),IF(O35="G","G","D"),COUNTIF($N$6:$N$45,"&gt;"&amp;N35)+1))</f>
        <v/>
      </c>
      <c r="AD35" s="43">
        <f>IF(OR(B35="",S35=0),"-",IF(OR(T35="G",T35="D"),IF(T35="G","G","D"),COUNTIF($S$6:$S$45,"&gt;"&amp;S35)+1))</f>
        <v/>
      </c>
      <c r="AE35" s="43">
        <f>IF(OR(B35="",X35=0),"-",IF(OR(Y35="G",Y35="D"),IF(Y35="G","G","D"),COUNTIF($X$6:$X$45,"&gt;"&amp;X35)+1))</f>
        <v/>
      </c>
    </row>
    <row r="36">
      <c r="A36" s="29" t="n">
        <v>31</v>
      </c>
      <c r="B36" s="30" t="n"/>
      <c r="C36" s="30" t="n"/>
      <c r="D36" s="31" t="n"/>
      <c r="E36" s="32" t="n"/>
      <c r="F36" s="33" t="n"/>
      <c r="G36" s="33" t="n"/>
      <c r="H36" s="33" t="n"/>
      <c r="I36" s="34">
        <f>IF(OR(J36="G",J36="D"),0,IF(AND(F36="",G36=""),0,MAX(0,IFERROR(F36+0,0)+IFERROR(G36+0,0)-IFERROR(H36+0,0))))</f>
        <v/>
      </c>
      <c r="J36" s="35" t="n"/>
      <c r="K36" s="33" t="n"/>
      <c r="L36" s="33" t="n"/>
      <c r="M36" s="33" t="n"/>
      <c r="N36" s="34">
        <f>IF(OR(O36="G",O36="D"),0,IF(AND(K36="",L36=""),0,MAX(0,IFERROR(K36+0,0)+IFERROR(L36+0,0)-IFERROR(M36+0,0))))</f>
        <v/>
      </c>
      <c r="O36" s="35" t="n"/>
      <c r="P36" s="33" t="n"/>
      <c r="Q36" s="33" t="n"/>
      <c r="R36" s="33" t="n"/>
      <c r="S36" s="34">
        <f>IF(OR(T36="G",T36="D"),0,IF(AND(P36="",Q36=""),0,MAX(0,IFERROR(P36+0,0)+IFERROR(Q36+0,0)-IFERROR(R36+0,0))))</f>
        <v/>
      </c>
      <c r="T36" s="35" t="n"/>
      <c r="U36" s="33" t="n"/>
      <c r="V36" s="33" t="n"/>
      <c r="W36" s="33" t="n"/>
      <c r="X36" s="34">
        <f>IF(OR(Y36="G",Y36="D"),0,IF(AND(U36="",V36=""),0,MAX(0,IFERROR(U36+0,0)+IFERROR(V36+0,0)-IFERROR(W36+0,0))))</f>
        <v/>
      </c>
      <c r="Y36" s="35" t="n"/>
      <c r="Z36" s="36">
        <f>IF(B36="","",IF(OR(J36="G",J36="D"),0,I36)+IF(OR(O36="G",O36="D"),0,N36)+IF(OR(T36="G",T36="D"),0,S36)+IF(OR(Y36="G",Y36="D"),0,X36))</f>
        <v/>
      </c>
      <c r="AA36" s="37">
        <f>IF(OR(B36="",Z36=0),"-",RANK.EQ(Z36,$Z$6:$Z$45,0))</f>
        <v/>
      </c>
      <c r="AB36" s="35">
        <f>IF(OR(B36="",I36=0),"-",IF(OR(J36="G",J36="D"),IF(J36="G","G","D"),COUNTIF($I$6:$I$45,"&gt;"&amp;I36)+1))</f>
        <v/>
      </c>
      <c r="AC36" s="35">
        <f>IF(OR(B36="",N36=0),"-",IF(OR(O36="G",O36="D"),IF(O36="G","G","D"),COUNTIF($N$6:$N$45,"&gt;"&amp;N36)+1))</f>
        <v/>
      </c>
      <c r="AD36" s="35">
        <f>IF(OR(B36="",S36=0),"-",IF(OR(T36="G",T36="D"),IF(T36="G","G","D"),COUNTIF($S$6:$S$45,"&gt;"&amp;S36)+1))</f>
        <v/>
      </c>
      <c r="AE36" s="35">
        <f>IF(OR(B36="",X36=0),"-",IF(OR(Y36="G",Y36="D"),IF(Y36="G","G","D"),COUNTIF($X$6:$X$45,"&gt;"&amp;X36)+1))</f>
        <v/>
      </c>
    </row>
    <row r="37">
      <c r="A37" s="38" t="n">
        <v>32</v>
      </c>
      <c r="B37" s="39" t="n"/>
      <c r="C37" s="39" t="n"/>
      <c r="D37" s="40" t="n"/>
      <c r="E37" s="41" t="n"/>
      <c r="F37" s="42" t="n"/>
      <c r="G37" s="42" t="n"/>
      <c r="H37" s="42" t="n"/>
      <c r="I37" s="34">
        <f>IF(OR(J37="G",J37="D"),0,IF(AND(F37="",G37=""),0,MAX(0,IFERROR(F37+0,0)+IFERROR(G37+0,0)-IFERROR(H37+0,0))))</f>
        <v/>
      </c>
      <c r="J37" s="43" t="n"/>
      <c r="K37" s="42" t="n"/>
      <c r="L37" s="42" t="n"/>
      <c r="M37" s="42" t="n"/>
      <c r="N37" s="34">
        <f>IF(OR(O37="G",O37="D"),0,IF(AND(K37="",L37=""),0,MAX(0,IFERROR(K37+0,0)+IFERROR(L37+0,0)-IFERROR(M37+0,0))))</f>
        <v/>
      </c>
      <c r="O37" s="43" t="n"/>
      <c r="P37" s="42" t="n"/>
      <c r="Q37" s="42" t="n"/>
      <c r="R37" s="42" t="n"/>
      <c r="S37" s="34">
        <f>IF(OR(T37="G",T37="D"),0,IF(AND(P37="",Q37=""),0,MAX(0,IFERROR(P37+0,0)+IFERROR(Q37+0,0)-IFERROR(R37+0,0))))</f>
        <v/>
      </c>
      <c r="T37" s="43" t="n"/>
      <c r="U37" s="42" t="n"/>
      <c r="V37" s="42" t="n"/>
      <c r="W37" s="42" t="n"/>
      <c r="X37" s="34">
        <f>IF(OR(Y37="G",Y37="D"),0,IF(AND(U37="",V37=""),0,MAX(0,IFERROR(U37+0,0)+IFERROR(V37+0,0)-IFERROR(W37+0,0))))</f>
        <v/>
      </c>
      <c r="Y37" s="43" t="n"/>
      <c r="Z37" s="36">
        <f>IF(B37="","",IF(OR(J37="G",J37="D"),0,I37)+IF(OR(O37="G",O37="D"),0,N37)+IF(OR(T37="G",T37="D"),0,S37)+IF(OR(Y37="G",Y37="D"),0,X37))</f>
        <v/>
      </c>
      <c r="AA37" s="37">
        <f>IF(OR(B37="",Z37=0),"-",RANK.EQ(Z37,$Z$6:$Z$45,0))</f>
        <v/>
      </c>
      <c r="AB37" s="43">
        <f>IF(OR(B37="",I37=0),"-",IF(OR(J37="G",J37="D"),IF(J37="G","G","D"),COUNTIF($I$6:$I$45,"&gt;"&amp;I37)+1))</f>
        <v/>
      </c>
      <c r="AC37" s="43">
        <f>IF(OR(B37="",N37=0),"-",IF(OR(O37="G",O37="D"),IF(O37="G","G","D"),COUNTIF($N$6:$N$45,"&gt;"&amp;N37)+1))</f>
        <v/>
      </c>
      <c r="AD37" s="43">
        <f>IF(OR(B37="",S37=0),"-",IF(OR(T37="G",T37="D"),IF(T37="G","G","D"),COUNTIF($S$6:$S$45,"&gt;"&amp;S37)+1))</f>
        <v/>
      </c>
      <c r="AE37" s="43">
        <f>IF(OR(B37="",X37=0),"-",IF(OR(Y37="G",Y37="D"),IF(Y37="G","G","D"),COUNTIF($X$6:$X$45,"&gt;"&amp;X37)+1))</f>
        <v/>
      </c>
    </row>
    <row r="38">
      <c r="A38" s="29" t="n">
        <v>33</v>
      </c>
      <c r="B38" s="30" t="n"/>
      <c r="C38" s="30" t="n"/>
      <c r="D38" s="31" t="n"/>
      <c r="E38" s="32" t="n"/>
      <c r="F38" s="33" t="n"/>
      <c r="G38" s="33" t="n"/>
      <c r="H38" s="33" t="n"/>
      <c r="I38" s="34">
        <f>IF(OR(J38="G",J38="D"),0,IF(AND(F38="",G38=""),0,MAX(0,IFERROR(F38+0,0)+IFERROR(G38+0,0)-IFERROR(H38+0,0))))</f>
        <v/>
      </c>
      <c r="J38" s="35" t="n"/>
      <c r="K38" s="33" t="n"/>
      <c r="L38" s="33" t="n"/>
      <c r="M38" s="33" t="n"/>
      <c r="N38" s="34">
        <f>IF(OR(O38="G",O38="D"),0,IF(AND(K38="",L38=""),0,MAX(0,IFERROR(K38+0,0)+IFERROR(L38+0,0)-IFERROR(M38+0,0))))</f>
        <v/>
      </c>
      <c r="O38" s="35" t="n"/>
      <c r="P38" s="33" t="n"/>
      <c r="Q38" s="33" t="n"/>
      <c r="R38" s="33" t="n"/>
      <c r="S38" s="34">
        <f>IF(OR(T38="G",T38="D"),0,IF(AND(P38="",Q38=""),0,MAX(0,IFERROR(P38+0,0)+IFERROR(Q38+0,0)-IFERROR(R38+0,0))))</f>
        <v/>
      </c>
      <c r="T38" s="35" t="n"/>
      <c r="U38" s="33" t="n"/>
      <c r="V38" s="33" t="n"/>
      <c r="W38" s="33" t="n"/>
      <c r="X38" s="34">
        <f>IF(OR(Y38="G",Y38="D"),0,IF(AND(U38="",V38=""),0,MAX(0,IFERROR(U38+0,0)+IFERROR(V38+0,0)-IFERROR(W38+0,0))))</f>
        <v/>
      </c>
      <c r="Y38" s="35" t="n"/>
      <c r="Z38" s="36">
        <f>IF(B38="","",IF(OR(J38="G",J38="D"),0,I38)+IF(OR(O38="G",O38="D"),0,N38)+IF(OR(T38="G",T38="D"),0,S38)+IF(OR(Y38="G",Y38="D"),0,X38))</f>
        <v/>
      </c>
      <c r="AA38" s="37">
        <f>IF(OR(B38="",Z38=0),"-",RANK.EQ(Z38,$Z$6:$Z$45,0))</f>
        <v/>
      </c>
      <c r="AB38" s="35">
        <f>IF(OR(B38="",I38=0),"-",IF(OR(J38="G",J38="D"),IF(J38="G","G","D"),COUNTIF($I$6:$I$45,"&gt;"&amp;I38)+1))</f>
        <v/>
      </c>
      <c r="AC38" s="35">
        <f>IF(OR(B38="",N38=0),"-",IF(OR(O38="G",O38="D"),IF(O38="G","G","D"),COUNTIF($N$6:$N$45,"&gt;"&amp;N38)+1))</f>
        <v/>
      </c>
      <c r="AD38" s="35">
        <f>IF(OR(B38="",S38=0),"-",IF(OR(T38="G",T38="D"),IF(T38="G","G","D"),COUNTIF($S$6:$S$45,"&gt;"&amp;S38)+1))</f>
        <v/>
      </c>
      <c r="AE38" s="35">
        <f>IF(OR(B38="",X38=0),"-",IF(OR(Y38="G",Y38="D"),IF(Y38="G","G","D"),COUNTIF($X$6:$X$45,"&gt;"&amp;X38)+1))</f>
        <v/>
      </c>
    </row>
    <row r="39">
      <c r="A39" s="38" t="n">
        <v>34</v>
      </c>
      <c r="B39" s="39" t="n"/>
      <c r="C39" s="39" t="n"/>
      <c r="D39" s="40" t="n"/>
      <c r="E39" s="41" t="n"/>
      <c r="F39" s="42" t="n"/>
      <c r="G39" s="42" t="n"/>
      <c r="H39" s="42" t="n"/>
      <c r="I39" s="34">
        <f>IF(OR(J39="G",J39="D"),0,IF(AND(F39="",G39=""),0,MAX(0,IFERROR(F39+0,0)+IFERROR(G39+0,0)-IFERROR(H39+0,0))))</f>
        <v/>
      </c>
      <c r="J39" s="43" t="n"/>
      <c r="K39" s="42" t="n"/>
      <c r="L39" s="42" t="n"/>
      <c r="M39" s="42" t="n"/>
      <c r="N39" s="34">
        <f>IF(OR(O39="G",O39="D"),0,IF(AND(K39="",L39=""),0,MAX(0,IFERROR(K39+0,0)+IFERROR(L39+0,0)-IFERROR(M39+0,0))))</f>
        <v/>
      </c>
      <c r="O39" s="43" t="n"/>
      <c r="P39" s="42" t="n"/>
      <c r="Q39" s="42" t="n"/>
      <c r="R39" s="42" t="n"/>
      <c r="S39" s="34">
        <f>IF(OR(T39="G",T39="D"),0,IF(AND(P39="",Q39=""),0,MAX(0,IFERROR(P39+0,0)+IFERROR(Q39+0,0)-IFERROR(R39+0,0))))</f>
        <v/>
      </c>
      <c r="T39" s="43" t="n"/>
      <c r="U39" s="42" t="n"/>
      <c r="V39" s="42" t="n"/>
      <c r="W39" s="42" t="n"/>
      <c r="X39" s="34">
        <f>IF(OR(Y39="G",Y39="D"),0,IF(AND(U39="",V39=""),0,MAX(0,IFERROR(U39+0,0)+IFERROR(V39+0,0)-IFERROR(W39+0,0))))</f>
        <v/>
      </c>
      <c r="Y39" s="43" t="n"/>
      <c r="Z39" s="36">
        <f>IF(B39="","",IF(OR(J39="G",J39="D"),0,I39)+IF(OR(O39="G",O39="D"),0,N39)+IF(OR(T39="G",T39="D"),0,S39)+IF(OR(Y39="G",Y39="D"),0,X39))</f>
        <v/>
      </c>
      <c r="AA39" s="37">
        <f>IF(OR(B39="",Z39=0),"-",RANK.EQ(Z39,$Z$6:$Z$45,0))</f>
        <v/>
      </c>
      <c r="AB39" s="43">
        <f>IF(OR(B39="",I39=0),"-",IF(OR(J39="G",J39="D"),IF(J39="G","G","D"),COUNTIF($I$6:$I$45,"&gt;"&amp;I39)+1))</f>
        <v/>
      </c>
      <c r="AC39" s="43">
        <f>IF(OR(B39="",N39=0),"-",IF(OR(O39="G",O39="D"),IF(O39="G","G","D"),COUNTIF($N$6:$N$45,"&gt;"&amp;N39)+1))</f>
        <v/>
      </c>
      <c r="AD39" s="43">
        <f>IF(OR(B39="",S39=0),"-",IF(OR(T39="G",T39="D"),IF(T39="G","G","D"),COUNTIF($S$6:$S$45,"&gt;"&amp;S39)+1))</f>
        <v/>
      </c>
      <c r="AE39" s="43">
        <f>IF(OR(B39="",X39=0),"-",IF(OR(Y39="G",Y39="D"),IF(Y39="G","G","D"),COUNTIF($X$6:$X$45,"&gt;"&amp;X39)+1))</f>
        <v/>
      </c>
    </row>
    <row r="40">
      <c r="A40" s="29" t="n">
        <v>35</v>
      </c>
      <c r="B40" s="30" t="n"/>
      <c r="C40" s="30" t="n"/>
      <c r="D40" s="31" t="n"/>
      <c r="E40" s="32" t="n"/>
      <c r="F40" s="33" t="n"/>
      <c r="G40" s="33" t="n"/>
      <c r="H40" s="33" t="n"/>
      <c r="I40" s="34">
        <f>IF(OR(J40="G",J40="D"),0,IF(AND(F40="",G40=""),0,MAX(0,IFERROR(F40+0,0)+IFERROR(G40+0,0)-IFERROR(H40+0,0))))</f>
        <v/>
      </c>
      <c r="J40" s="35" t="n"/>
      <c r="K40" s="33" t="n"/>
      <c r="L40" s="33" t="n"/>
      <c r="M40" s="33" t="n"/>
      <c r="N40" s="34">
        <f>IF(OR(O40="G",O40="D"),0,IF(AND(K40="",L40=""),0,MAX(0,IFERROR(K40+0,0)+IFERROR(L40+0,0)-IFERROR(M40+0,0))))</f>
        <v/>
      </c>
      <c r="O40" s="35" t="n"/>
      <c r="P40" s="33" t="n"/>
      <c r="Q40" s="33" t="n"/>
      <c r="R40" s="33" t="n"/>
      <c r="S40" s="34">
        <f>IF(OR(T40="G",T40="D"),0,IF(AND(P40="",Q40=""),0,MAX(0,IFERROR(P40+0,0)+IFERROR(Q40+0,0)-IFERROR(R40+0,0))))</f>
        <v/>
      </c>
      <c r="T40" s="35" t="n"/>
      <c r="U40" s="33" t="n"/>
      <c r="V40" s="33" t="n"/>
      <c r="W40" s="33" t="n"/>
      <c r="X40" s="34">
        <f>IF(OR(Y40="G",Y40="D"),0,IF(AND(U40="",V40=""),0,MAX(0,IFERROR(U40+0,0)+IFERROR(V40+0,0)-IFERROR(W40+0,0))))</f>
        <v/>
      </c>
      <c r="Y40" s="35" t="n"/>
      <c r="Z40" s="36">
        <f>IF(B40="","",IF(OR(J40="G",J40="D"),0,I40)+IF(OR(O40="G",O40="D"),0,N40)+IF(OR(T40="G",T40="D"),0,S40)+IF(OR(Y40="G",Y40="D"),0,X40))</f>
        <v/>
      </c>
      <c r="AA40" s="37">
        <f>IF(OR(B40="",Z40=0),"-",RANK.EQ(Z40,$Z$6:$Z$45,0))</f>
        <v/>
      </c>
      <c r="AB40" s="35">
        <f>IF(OR(B40="",I40=0),"-",IF(OR(J40="G",J40="D"),IF(J40="G","G","D"),COUNTIF($I$6:$I$45,"&gt;"&amp;I40)+1))</f>
        <v/>
      </c>
      <c r="AC40" s="35">
        <f>IF(OR(B40="",N40=0),"-",IF(OR(O40="G",O40="D"),IF(O40="G","G","D"),COUNTIF($N$6:$N$45,"&gt;"&amp;N40)+1))</f>
        <v/>
      </c>
      <c r="AD40" s="35">
        <f>IF(OR(B40="",S40=0),"-",IF(OR(T40="G",T40="D"),IF(T40="G","G","D"),COUNTIF($S$6:$S$45,"&gt;"&amp;S40)+1))</f>
        <v/>
      </c>
      <c r="AE40" s="35">
        <f>IF(OR(B40="",X40=0),"-",IF(OR(Y40="G",Y40="D"),IF(Y40="G","G","D"),COUNTIF($X$6:$X$45,"&gt;"&amp;X40)+1))</f>
        <v/>
      </c>
    </row>
    <row r="41">
      <c r="A41" s="38" t="n">
        <v>36</v>
      </c>
      <c r="B41" s="39" t="n"/>
      <c r="C41" s="39" t="n"/>
      <c r="D41" s="40" t="n"/>
      <c r="E41" s="41" t="n"/>
      <c r="F41" s="42" t="n"/>
      <c r="G41" s="42" t="n"/>
      <c r="H41" s="42" t="n"/>
      <c r="I41" s="34">
        <f>IF(OR(J41="G",J41="D"),0,IF(AND(F41="",G41=""),0,MAX(0,IFERROR(F41+0,0)+IFERROR(G41+0,0)-IFERROR(H41+0,0))))</f>
        <v/>
      </c>
      <c r="J41" s="43" t="n"/>
      <c r="K41" s="42" t="n"/>
      <c r="L41" s="42" t="n"/>
      <c r="M41" s="42" t="n"/>
      <c r="N41" s="34">
        <f>IF(OR(O41="G",O41="D"),0,IF(AND(K41="",L41=""),0,MAX(0,IFERROR(K41+0,0)+IFERROR(L41+0,0)-IFERROR(M41+0,0))))</f>
        <v/>
      </c>
      <c r="O41" s="43" t="n"/>
      <c r="P41" s="42" t="n"/>
      <c r="Q41" s="42" t="n"/>
      <c r="R41" s="42" t="n"/>
      <c r="S41" s="34">
        <f>IF(OR(T41="G",T41="D"),0,IF(AND(P41="",Q41=""),0,MAX(0,IFERROR(P41+0,0)+IFERROR(Q41+0,0)-IFERROR(R41+0,0))))</f>
        <v/>
      </c>
      <c r="T41" s="43" t="n"/>
      <c r="U41" s="42" t="n"/>
      <c r="V41" s="42" t="n"/>
      <c r="W41" s="42" t="n"/>
      <c r="X41" s="34">
        <f>IF(OR(Y41="G",Y41="D"),0,IF(AND(U41="",V41=""),0,MAX(0,IFERROR(U41+0,0)+IFERROR(V41+0,0)-IFERROR(W41+0,0))))</f>
        <v/>
      </c>
      <c r="Y41" s="43" t="n"/>
      <c r="Z41" s="36">
        <f>IF(B41="","",IF(OR(J41="G",J41="D"),0,I41)+IF(OR(O41="G",O41="D"),0,N41)+IF(OR(T41="G",T41="D"),0,S41)+IF(OR(Y41="G",Y41="D"),0,X41))</f>
        <v/>
      </c>
      <c r="AA41" s="37">
        <f>IF(OR(B41="",Z41=0),"-",RANK.EQ(Z41,$Z$6:$Z$45,0))</f>
        <v/>
      </c>
      <c r="AB41" s="43">
        <f>IF(OR(B41="",I41=0),"-",IF(OR(J41="G",J41="D"),IF(J41="G","G","D"),COUNTIF($I$6:$I$45,"&gt;"&amp;I41)+1))</f>
        <v/>
      </c>
      <c r="AC41" s="43">
        <f>IF(OR(B41="",N41=0),"-",IF(OR(O41="G",O41="D"),IF(O41="G","G","D"),COUNTIF($N$6:$N$45,"&gt;"&amp;N41)+1))</f>
        <v/>
      </c>
      <c r="AD41" s="43">
        <f>IF(OR(B41="",S41=0),"-",IF(OR(T41="G",T41="D"),IF(T41="G","G","D"),COUNTIF($S$6:$S$45,"&gt;"&amp;S41)+1))</f>
        <v/>
      </c>
      <c r="AE41" s="43">
        <f>IF(OR(B41="",X41=0),"-",IF(OR(Y41="G",Y41="D"),IF(Y41="G","G","D"),COUNTIF($X$6:$X$45,"&gt;"&amp;X41)+1))</f>
        <v/>
      </c>
    </row>
    <row r="42">
      <c r="A42" s="29" t="n">
        <v>37</v>
      </c>
      <c r="B42" s="30" t="n"/>
      <c r="C42" s="30" t="n"/>
      <c r="D42" s="31" t="n"/>
      <c r="E42" s="32" t="n"/>
      <c r="F42" s="33" t="n"/>
      <c r="G42" s="33" t="n"/>
      <c r="H42" s="33" t="n"/>
      <c r="I42" s="34">
        <f>IF(OR(J42="G",J42="D"),0,IF(AND(F42="",G42=""),0,MAX(0,IFERROR(F42+0,0)+IFERROR(G42+0,0)-IFERROR(H42+0,0))))</f>
        <v/>
      </c>
      <c r="J42" s="35" t="n"/>
      <c r="K42" s="33" t="n"/>
      <c r="L42" s="33" t="n"/>
      <c r="M42" s="33" t="n"/>
      <c r="N42" s="34">
        <f>IF(OR(O42="G",O42="D"),0,IF(AND(K42="",L42=""),0,MAX(0,IFERROR(K42+0,0)+IFERROR(L42+0,0)-IFERROR(M42+0,0))))</f>
        <v/>
      </c>
      <c r="O42" s="35" t="n"/>
      <c r="P42" s="33" t="n"/>
      <c r="Q42" s="33" t="n"/>
      <c r="R42" s="33" t="n"/>
      <c r="S42" s="34">
        <f>IF(OR(T42="G",T42="D"),0,IF(AND(P42="",Q42=""),0,MAX(0,IFERROR(P42+0,0)+IFERROR(Q42+0,0)-IFERROR(R42+0,0))))</f>
        <v/>
      </c>
      <c r="T42" s="35" t="n"/>
      <c r="U42" s="33" t="n"/>
      <c r="V42" s="33" t="n"/>
      <c r="W42" s="33" t="n"/>
      <c r="X42" s="34">
        <f>IF(OR(Y42="G",Y42="D"),0,IF(AND(U42="",V42=""),0,MAX(0,IFERROR(U42+0,0)+IFERROR(V42+0,0)-IFERROR(W42+0,0))))</f>
        <v/>
      </c>
      <c r="Y42" s="35" t="n"/>
      <c r="Z42" s="36">
        <f>IF(B42="","",IF(OR(J42="G",J42="D"),0,I42)+IF(OR(O42="G",O42="D"),0,N42)+IF(OR(T42="G",T42="D"),0,S42)+IF(OR(Y42="G",Y42="D"),0,X42))</f>
        <v/>
      </c>
      <c r="AA42" s="37">
        <f>IF(OR(B42="",Z42=0),"-",RANK.EQ(Z42,$Z$6:$Z$45,0))</f>
        <v/>
      </c>
      <c r="AB42" s="35">
        <f>IF(OR(B42="",I42=0),"-",IF(OR(J42="G",J42="D"),IF(J42="G","G","D"),COUNTIF($I$6:$I$45,"&gt;"&amp;I42)+1))</f>
        <v/>
      </c>
      <c r="AC42" s="35">
        <f>IF(OR(B42="",N42=0),"-",IF(OR(O42="G",O42="D"),IF(O42="G","G","D"),COUNTIF($N$6:$N$45,"&gt;"&amp;N42)+1))</f>
        <v/>
      </c>
      <c r="AD42" s="35">
        <f>IF(OR(B42="",S42=0),"-",IF(OR(T42="G",T42="D"),IF(T42="G","G","D"),COUNTIF($S$6:$S$45,"&gt;"&amp;S42)+1))</f>
        <v/>
      </c>
      <c r="AE42" s="35">
        <f>IF(OR(B42="",X42=0),"-",IF(OR(Y42="G",Y42="D"),IF(Y42="G","G","D"),COUNTIF($X$6:$X$45,"&gt;"&amp;X42)+1))</f>
        <v/>
      </c>
    </row>
    <row r="43">
      <c r="A43" s="38" t="n">
        <v>38</v>
      </c>
      <c r="B43" s="39" t="n"/>
      <c r="C43" s="39" t="n"/>
      <c r="D43" s="40" t="n"/>
      <c r="E43" s="41" t="n"/>
      <c r="F43" s="42" t="n"/>
      <c r="G43" s="42" t="n"/>
      <c r="H43" s="42" t="n"/>
      <c r="I43" s="34">
        <f>IF(OR(J43="G",J43="D"),0,IF(AND(F43="",G43=""),0,MAX(0,IFERROR(F43+0,0)+IFERROR(G43+0,0)-IFERROR(H43+0,0))))</f>
        <v/>
      </c>
      <c r="J43" s="43" t="n"/>
      <c r="K43" s="42" t="n"/>
      <c r="L43" s="42" t="n"/>
      <c r="M43" s="42" t="n"/>
      <c r="N43" s="34">
        <f>IF(OR(O43="G",O43="D"),0,IF(AND(K43="",L43=""),0,MAX(0,IFERROR(K43+0,0)+IFERROR(L43+0,0)-IFERROR(M43+0,0))))</f>
        <v/>
      </c>
      <c r="O43" s="43" t="n"/>
      <c r="P43" s="42" t="n"/>
      <c r="Q43" s="42" t="n"/>
      <c r="R43" s="42" t="n"/>
      <c r="S43" s="34">
        <f>IF(OR(T43="G",T43="D"),0,IF(AND(P43="",Q43=""),0,MAX(0,IFERROR(P43+0,0)+IFERROR(Q43+0,0)-IFERROR(R43+0,0))))</f>
        <v/>
      </c>
      <c r="T43" s="43" t="n"/>
      <c r="U43" s="42" t="n"/>
      <c r="V43" s="42" t="n"/>
      <c r="W43" s="42" t="n"/>
      <c r="X43" s="34">
        <f>IF(OR(Y43="G",Y43="D"),0,IF(AND(U43="",V43=""),0,MAX(0,IFERROR(U43+0,0)+IFERROR(V43+0,0)-IFERROR(W43+0,0))))</f>
        <v/>
      </c>
      <c r="Y43" s="43" t="n"/>
      <c r="Z43" s="36">
        <f>IF(B43="","",IF(OR(J43="G",J43="D"),0,I43)+IF(OR(O43="G",O43="D"),0,N43)+IF(OR(T43="G",T43="D"),0,S43)+IF(OR(Y43="G",Y43="D"),0,X43))</f>
        <v/>
      </c>
      <c r="AA43" s="37">
        <f>IF(OR(B43="",Z43=0),"-",RANK.EQ(Z43,$Z$6:$Z$45,0))</f>
        <v/>
      </c>
      <c r="AB43" s="43">
        <f>IF(OR(B43="",I43=0),"-",IF(OR(J43="G",J43="D"),IF(J43="G","G","D"),COUNTIF($I$6:$I$45,"&gt;"&amp;I43)+1))</f>
        <v/>
      </c>
      <c r="AC43" s="43">
        <f>IF(OR(B43="",N43=0),"-",IF(OR(O43="G",O43="D"),IF(O43="G","G","D"),COUNTIF($N$6:$N$45,"&gt;"&amp;N43)+1))</f>
        <v/>
      </c>
      <c r="AD43" s="43">
        <f>IF(OR(B43="",S43=0),"-",IF(OR(T43="G",T43="D"),IF(T43="G","G","D"),COUNTIF($S$6:$S$45,"&gt;"&amp;S43)+1))</f>
        <v/>
      </c>
      <c r="AE43" s="43">
        <f>IF(OR(B43="",X43=0),"-",IF(OR(Y43="G",Y43="D"),IF(Y43="G","G","D"),COUNTIF($X$6:$X$45,"&gt;"&amp;X43)+1))</f>
        <v/>
      </c>
    </row>
    <row r="44">
      <c r="A44" s="29" t="n">
        <v>39</v>
      </c>
      <c r="B44" s="30" t="n"/>
      <c r="C44" s="30" t="n"/>
      <c r="D44" s="31" t="n"/>
      <c r="E44" s="32" t="n"/>
      <c r="F44" s="33" t="n"/>
      <c r="G44" s="33" t="n"/>
      <c r="H44" s="33" t="n"/>
      <c r="I44" s="34">
        <f>IF(OR(J44="G",J44="D"),0,IF(AND(F44="",G44=""),0,MAX(0,IFERROR(F44+0,0)+IFERROR(G44+0,0)-IFERROR(H44+0,0))))</f>
        <v/>
      </c>
      <c r="J44" s="35" t="n"/>
      <c r="K44" s="33" t="n"/>
      <c r="L44" s="33" t="n"/>
      <c r="M44" s="33" t="n"/>
      <c r="N44" s="34">
        <f>IF(OR(O44="G",O44="D"),0,IF(AND(K44="",L44=""),0,MAX(0,IFERROR(K44+0,0)+IFERROR(L44+0,0)-IFERROR(M44+0,0))))</f>
        <v/>
      </c>
      <c r="O44" s="35" t="n"/>
      <c r="P44" s="33" t="n"/>
      <c r="Q44" s="33" t="n"/>
      <c r="R44" s="33" t="n"/>
      <c r="S44" s="34">
        <f>IF(OR(T44="G",T44="D"),0,IF(AND(P44="",Q44=""),0,MAX(0,IFERROR(P44+0,0)+IFERROR(Q44+0,0)-IFERROR(R44+0,0))))</f>
        <v/>
      </c>
      <c r="T44" s="35" t="n"/>
      <c r="U44" s="33" t="n"/>
      <c r="V44" s="33" t="n"/>
      <c r="W44" s="33" t="n"/>
      <c r="X44" s="34">
        <f>IF(OR(Y44="G",Y44="D"),0,IF(AND(U44="",V44=""),0,MAX(0,IFERROR(U44+0,0)+IFERROR(V44+0,0)-IFERROR(W44+0,0))))</f>
        <v/>
      </c>
      <c r="Y44" s="35" t="n"/>
      <c r="Z44" s="36">
        <f>IF(B44="","",IF(OR(J44="G",J44="D"),0,I44)+IF(OR(O44="G",O44="D"),0,N44)+IF(OR(T44="G",T44="D"),0,S44)+IF(OR(Y44="G",Y44="D"),0,X44))</f>
        <v/>
      </c>
      <c r="AA44" s="37">
        <f>IF(OR(B44="",Z44=0),"-",RANK.EQ(Z44,$Z$6:$Z$45,0))</f>
        <v/>
      </c>
      <c r="AB44" s="35">
        <f>IF(OR(B44="",I44=0),"-",IF(OR(J44="G",J44="D"),IF(J44="G","G","D"),COUNTIF($I$6:$I$45,"&gt;"&amp;I44)+1))</f>
        <v/>
      </c>
      <c r="AC44" s="35">
        <f>IF(OR(B44="",N44=0),"-",IF(OR(O44="G",O44="D"),IF(O44="G","G","D"),COUNTIF($N$6:$N$45,"&gt;"&amp;N44)+1))</f>
        <v/>
      </c>
      <c r="AD44" s="35">
        <f>IF(OR(B44="",S44=0),"-",IF(OR(T44="G",T44="D"),IF(T44="G","G","D"),COUNTIF($S$6:$S$45,"&gt;"&amp;S44)+1))</f>
        <v/>
      </c>
      <c r="AE44" s="35">
        <f>IF(OR(B44="",X44=0),"-",IF(OR(Y44="G",Y44="D"),IF(Y44="G","G","D"),COUNTIF($X$6:$X$45,"&gt;"&amp;X44)+1))</f>
        <v/>
      </c>
    </row>
    <row r="45">
      <c r="A45" s="38" t="n">
        <v>40</v>
      </c>
      <c r="B45" s="39" t="n"/>
      <c r="C45" s="39" t="n"/>
      <c r="D45" s="40" t="n"/>
      <c r="E45" s="41" t="n"/>
      <c r="F45" s="42" t="n"/>
      <c r="G45" s="42" t="n"/>
      <c r="H45" s="42" t="n"/>
      <c r="I45" s="34">
        <f>IF(OR(J45="G",J45="D"),0,IF(AND(F45="",G45=""),0,MAX(0,IFERROR(F45+0,0)+IFERROR(G45+0,0)-IFERROR(H45+0,0))))</f>
        <v/>
      </c>
      <c r="J45" s="43" t="n"/>
      <c r="K45" s="42" t="n"/>
      <c r="L45" s="42" t="n"/>
      <c r="M45" s="42" t="n"/>
      <c r="N45" s="34">
        <f>IF(OR(O45="G",O45="D"),0,IF(AND(K45="",L45=""),0,MAX(0,IFERROR(K45+0,0)+IFERROR(L45+0,0)-IFERROR(M45+0,0))))</f>
        <v/>
      </c>
      <c r="O45" s="43" t="n"/>
      <c r="P45" s="42" t="n"/>
      <c r="Q45" s="42" t="n"/>
      <c r="R45" s="42" t="n"/>
      <c r="S45" s="34">
        <f>IF(OR(T45="G",T45="D"),0,IF(AND(P45="",Q45=""),0,MAX(0,IFERROR(P45+0,0)+IFERROR(Q45+0,0)-IFERROR(R45+0,0))))</f>
        <v/>
      </c>
      <c r="T45" s="43" t="n"/>
      <c r="U45" s="42" t="n"/>
      <c r="V45" s="42" t="n"/>
      <c r="W45" s="42" t="n"/>
      <c r="X45" s="34">
        <f>IF(OR(Y45="G",Y45="D"),0,IF(AND(U45="",V45=""),0,MAX(0,IFERROR(U45+0,0)+IFERROR(V45+0,0)-IFERROR(W45+0,0))))</f>
        <v/>
      </c>
      <c r="Y45" s="43" t="n"/>
      <c r="Z45" s="36">
        <f>IF(B45="","",IF(OR(J45="G",J45="D"),0,I45)+IF(OR(O45="G",O45="D"),0,N45)+IF(OR(T45="G",T45="D"),0,S45)+IF(OR(Y45="G",Y45="D"),0,X45))</f>
        <v/>
      </c>
      <c r="AA45" s="37">
        <f>IF(OR(B45="",Z45=0),"-",RANK.EQ(Z45,$Z$6:$Z$45,0))</f>
        <v/>
      </c>
      <c r="AB45" s="43">
        <f>IF(OR(B45="",I45=0),"-",IF(OR(J45="G",J45="D"),IF(J45="G","G","D"),COUNTIF($I$6:$I$45,"&gt;"&amp;I45)+1))</f>
        <v/>
      </c>
      <c r="AC45" s="43">
        <f>IF(OR(B45="",N45=0),"-",IF(OR(O45="G",O45="D"),IF(O45="G","G","D"),COUNTIF($N$6:$N$45,"&gt;"&amp;N45)+1))</f>
        <v/>
      </c>
      <c r="AD45" s="43">
        <f>IF(OR(B45="",S45=0),"-",IF(OR(T45="G",T45="D"),IF(T45="G","G","D"),COUNTIF($S$6:$S$45,"&gt;"&amp;S45)+1))</f>
        <v/>
      </c>
      <c r="AE45" s="43">
        <f>IF(OR(B45="",X45=0),"-",IF(OR(Y45="G",Y45="D"),IF(Y45="G","G","D"),COUNTIF($X$6:$X$45,"&gt;"&amp;X45)+1))</f>
        <v/>
      </c>
    </row>
    <row r="47">
      <c r="A47" s="44">
        <f>COUNTA(B6:B45)&amp;" sporcu kayıtlı"</f>
        <v/>
      </c>
    </row>
  </sheetData>
  <mergeCells count="9">
    <mergeCell ref="K3:O3"/>
    <mergeCell ref="F3:J3"/>
    <mergeCell ref="A2:AE2"/>
    <mergeCell ref="P3:T3"/>
    <mergeCell ref="AB3:AE3"/>
    <mergeCell ref="U3:Y3"/>
    <mergeCell ref="A1:AE1"/>
    <mergeCell ref="A5:AE5"/>
    <mergeCell ref="A47:E47"/>
  </mergeCells>
  <conditionalFormatting sqref="AA6:AA45">
    <cfRule type="cellIs" priority="1" operator="equal" dxfId="0">
      <formula>1</formula>
    </cfRule>
    <cfRule type="cellIs" priority="2" operator="equal" dxfId="1">
      <formula>2</formula>
    </cfRule>
    <cfRule type="cellIs" priority="3" operator="equal" dxfId="2">
      <formula>3</formula>
    </cfRule>
  </conditionalFormatting>
  <conditionalFormatting sqref="J6:J45">
    <cfRule type="cellIs" priority="4" operator="equal" dxfId="3">
      <formula>"G"</formula>
    </cfRule>
    <cfRule type="cellIs" priority="5" operator="equal" dxfId="4">
      <formula>"D"</formula>
    </cfRule>
  </conditionalFormatting>
  <conditionalFormatting sqref="O6:O45">
    <cfRule type="cellIs" priority="6" operator="equal" dxfId="3">
      <formula>"G"</formula>
    </cfRule>
    <cfRule type="cellIs" priority="7" operator="equal" dxfId="4">
      <formula>"D"</formula>
    </cfRule>
  </conditionalFormatting>
  <conditionalFormatting sqref="T6:T45">
    <cfRule type="cellIs" priority="8" operator="equal" dxfId="3">
      <formula>"G"</formula>
    </cfRule>
    <cfRule type="cellIs" priority="9" operator="equal" dxfId="4">
      <formula>"D"</formula>
    </cfRule>
  </conditionalFormatting>
  <conditionalFormatting sqref="Y6:Y45">
    <cfRule type="cellIs" priority="10" operator="equal" dxfId="3">
      <formula>"G"</formula>
    </cfRule>
    <cfRule type="cellIs" priority="11" operator="equal" dxfId="4">
      <formula>"D"</formula>
    </cfRule>
  </conditionalFormatting>
  <dataValidations count="2">
    <dataValidation sqref="E6 E7 E8 E9 E10 E11 E12 E13 E14 E15 E16 E17 E18 E19 E20 E21 E22 E23 E24 E25 E26 E27 E28 E29 E30 E31 E32 E33 E34 E35 E36 E37 E38 E39 E40 E41 E42 E43 E44 E45" showDropDown="0" showInputMessage="0" showErrorMessage="0" allowBlank="1" type="list">
      <formula1>"Bireysel,Takım"</formula1>
    </dataValidation>
    <dataValidation sqref="J6 J7 J8 J9 J10 J11 J12 J13 J14 J15 J16 J17 J18 J19 J20 J21 J22 J23 J24 J25 J26 J27 J28 J29 J30 J31 J32 J33 J34 J35 J36 J37 J38 J39 J40 J41 J42 J43 J44 J45 O6 O7 O8 O9 O10 O11 O12 O13 O14 O15 O16 O17 O18 O19 O20 O21 O22 O23 O24 O25 O26 O27 O28 O29 O30 O31 O32 O33 O34 O35 O36 O37 O38 O39 O40 O41 O42 O43 O44 O45 T6 T7 T8 T9 T10 T11 T12 T13 T14 T15 T16 T17 T18 T19 T20 T21 T22 T23 T24 T25 T26 T27 T28 T29 T30 T31 T32 T33 T34 T35 T36 T37 T38 T39 T40 T41 T42 T43 T44 T45 Y6 Y7 Y8 Y9 Y10 Y11 Y12 Y13 Y14 Y15 Y16 Y17 Y18 Y19 Y20 Y21 Y22 Y23 Y24 Y25 Y26 Y27 Y28 Y29 Y30 Y31 Y32 Y33 Y34 Y35 Y36 Y37 Y38 Y39 Y40 Y41 Y42 Y43 Y44 Y45" showDropDown="0" showInputMessage="0" showErrorMessage="0" allowBlank="1" type="list">
      <formula1>"N,G,D"</formula1>
    </dataValidation>
  </dataValidations>
  <pageMargins left="0.4" right="0.4" top="0.5" bottom="0.5"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1:AE4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4" customWidth="1" min="3" max="3"/>
    <col width="26" customWidth="1" min="4" max="4"/>
    <col width="10" customWidth="1" min="5" max="5"/>
    <col width="6.5" customWidth="1" min="6" max="6"/>
    <col width="6.5" customWidth="1" min="7" max="7"/>
    <col width="6.5" customWidth="1" min="8" max="8"/>
    <col width="9" customWidth="1" min="9" max="9"/>
    <col width="6" customWidth="1" min="10" max="10"/>
    <col width="6.5" customWidth="1" min="11" max="11"/>
    <col width="6.5" customWidth="1" min="12" max="12"/>
    <col width="6.5" customWidth="1" min="13" max="13"/>
    <col width="9" customWidth="1" min="14" max="14"/>
    <col width="6" customWidth="1" min="15" max="15"/>
    <col width="6.5" customWidth="1" min="16" max="16"/>
    <col width="6.5" customWidth="1" min="17" max="17"/>
    <col width="6.5" customWidth="1" min="18" max="18"/>
    <col width="9" customWidth="1" min="19" max="19"/>
    <col width="6" customWidth="1" min="20" max="20"/>
    <col width="6.5" customWidth="1" min="21" max="21"/>
    <col width="6.5" customWidth="1" min="22" max="22"/>
    <col width="6.5" customWidth="1" min="23" max="23"/>
    <col width="9" customWidth="1" min="24" max="24"/>
    <col width="6" customWidth="1" min="25" max="25"/>
    <col width="11" customWidth="1" min="26" max="26"/>
    <col width="9" customWidth="1" min="27" max="27"/>
    <col width="7" customWidth="1" min="28" max="28"/>
    <col width="7" customWidth="1" min="29" max="29"/>
    <col width="7" customWidth="1" min="30" max="30"/>
    <col width="7" customWidth="1" min="31" max="31"/>
  </cols>
  <sheetData>
    <row r="1" ht="32" customHeight="1">
      <c r="A1" s="45" t="inlineStr">
        <is>
          <t>KÜÇÜK ERKEKLER</t>
        </is>
      </c>
    </row>
    <row r="2" ht="15" customHeight="1">
      <c r="A2" s="23">
        <f>'YARIŞMA BİLGİLERİ'!C3&amp;"  —  "&amp;'YARIŞMA BİLGİLERİ'!C4&amp;"  |  "&amp;'YARIŞMA BİLGİLERİ'!C5</f>
        <v/>
      </c>
    </row>
    <row r="3" ht="22" customHeight="1">
      <c r="A3" s="46" t="n"/>
      <c r="B3" s="46" t="n"/>
      <c r="C3" s="46" t="n"/>
      <c r="D3" s="46" t="n"/>
      <c r="E3" s="46" t="n"/>
      <c r="F3" s="47" t="inlineStr">
        <is>
          <t>YER (FX)</t>
        </is>
      </c>
      <c r="G3" s="46" t="n"/>
      <c r="H3" s="46" t="n"/>
      <c r="I3" s="46" t="n"/>
      <c r="J3" s="46" t="n"/>
      <c r="K3" s="47" t="inlineStr">
        <is>
          <t>ATLAMA (VT)</t>
        </is>
      </c>
      <c r="L3" s="46" t="n"/>
      <c r="M3" s="46" t="n"/>
      <c r="N3" s="46" t="n"/>
      <c r="O3" s="46" t="n"/>
      <c r="P3" s="47" t="inlineStr">
        <is>
          <t>PARALEL (PB)</t>
        </is>
      </c>
      <c r="Q3" s="46" t="n"/>
      <c r="R3" s="46" t="n"/>
      <c r="S3" s="46" t="n"/>
      <c r="T3" s="46" t="n"/>
      <c r="U3" s="47" t="inlineStr">
        <is>
          <t>BARFIKS (HB)</t>
        </is>
      </c>
      <c r="V3" s="46" t="n"/>
      <c r="W3" s="46" t="n"/>
      <c r="X3" s="46" t="n"/>
      <c r="Y3" s="46" t="n"/>
      <c r="Z3" s="46" t="n"/>
      <c r="AA3" s="46" t="n"/>
      <c r="AB3" s="48" t="inlineStr">
        <is>
          <t>ALET SIRALARI  (Eleme Seçimi için)</t>
        </is>
      </c>
      <c r="AC3" s="46" t="n"/>
      <c r="AD3" s="46" t="n"/>
      <c r="AE3" s="46" t="n"/>
    </row>
    <row r="4" ht="30" customHeight="1">
      <c r="A4" s="27" t="inlineStr">
        <is>
          <t>No</t>
        </is>
      </c>
      <c r="B4" s="27" t="inlineStr">
        <is>
          <t>Ad</t>
        </is>
      </c>
      <c r="C4" s="27" t="inlineStr">
        <is>
          <t>Soyad</t>
        </is>
      </c>
      <c r="D4" s="27" t="inlineStr">
        <is>
          <t>Okul / Kulüp</t>
        </is>
      </c>
      <c r="E4" s="27" t="inlineStr">
        <is>
          <t>Tür</t>
        </is>
      </c>
      <c r="F4" s="27" t="inlineStr">
        <is>
          <t>D</t>
        </is>
      </c>
      <c r="G4" s="27" t="inlineStr">
        <is>
          <t>E</t>
        </is>
      </c>
      <c r="H4" s="27" t="inlineStr">
        <is>
          <t>ND</t>
        </is>
      </c>
      <c r="I4" s="27" t="inlineStr">
        <is>
          <t>Final</t>
        </is>
      </c>
      <c r="J4" s="27" t="inlineStr">
        <is>
          <t>Dur</t>
        </is>
      </c>
      <c r="K4" s="27" t="inlineStr">
        <is>
          <t>D</t>
        </is>
      </c>
      <c r="L4" s="27" t="inlineStr">
        <is>
          <t>E</t>
        </is>
      </c>
      <c r="M4" s="27" t="inlineStr">
        <is>
          <t>ND</t>
        </is>
      </c>
      <c r="N4" s="27" t="inlineStr">
        <is>
          <t>Final</t>
        </is>
      </c>
      <c r="O4" s="27" t="inlineStr">
        <is>
          <t>Dur</t>
        </is>
      </c>
      <c r="P4" s="27" t="inlineStr">
        <is>
          <t>D</t>
        </is>
      </c>
      <c r="Q4" s="27" t="inlineStr">
        <is>
          <t>E</t>
        </is>
      </c>
      <c r="R4" s="27" t="inlineStr">
        <is>
          <t>ND</t>
        </is>
      </c>
      <c r="S4" s="27" t="inlineStr">
        <is>
          <t>Final</t>
        </is>
      </c>
      <c r="T4" s="27" t="inlineStr">
        <is>
          <t>Dur</t>
        </is>
      </c>
      <c r="U4" s="27" t="inlineStr">
        <is>
          <t>D</t>
        </is>
      </c>
      <c r="V4" s="27" t="inlineStr">
        <is>
          <t>E</t>
        </is>
      </c>
      <c r="W4" s="27" t="inlineStr">
        <is>
          <t>ND</t>
        </is>
      </c>
      <c r="X4" s="27" t="inlineStr">
        <is>
          <t>Final</t>
        </is>
      </c>
      <c r="Y4" s="27" t="inlineStr">
        <is>
          <t>Dur</t>
        </is>
      </c>
      <c r="Z4" s="27" t="inlineStr">
        <is>
          <t>TOPLAM</t>
        </is>
      </c>
      <c r="AA4" s="27" t="inlineStr">
        <is>
          <t>SIRALAMA</t>
        </is>
      </c>
      <c r="AB4" s="27" t="inlineStr">
        <is>
          <t>FX</t>
        </is>
      </c>
      <c r="AC4" s="27" t="inlineStr">
        <is>
          <t>VT</t>
        </is>
      </c>
      <c r="AD4" s="27" t="inlineStr">
        <is>
          <t>PB</t>
        </is>
      </c>
      <c r="AE4" s="27" t="inlineStr">
        <is>
          <t>HB</t>
        </is>
      </c>
    </row>
    <row r="5" ht="13" customHeight="1">
      <c r="A5" s="28" t="inlineStr">
        <is>
          <t>Final = MAX(0, D+E−ND)  |  Dur: N=Normal · G=Gecersiz · D=Yarışmadı/DNS  |  Mavi sütun = formül (elle girme)  |  Yeşil = Toplam  |  Sarı = Sıralama</t>
        </is>
      </c>
    </row>
    <row r="6">
      <c r="A6" s="29" t="n">
        <v>1</v>
      </c>
      <c r="B6" s="30" t="n"/>
      <c r="C6" s="30" t="n"/>
      <c r="D6" s="31" t="n"/>
      <c r="E6" s="32" t="n"/>
      <c r="F6" s="33" t="n"/>
      <c r="G6" s="33" t="n"/>
      <c r="H6" s="33" t="n"/>
      <c r="I6" s="34">
        <f>IF(OR(J6="G",J6="D"),0,IF(AND(F6="",G6=""),0,MAX(0,IFERROR(F6+0,0)+IFERROR(G6+0,0)-IFERROR(H6+0,0))))</f>
        <v/>
      </c>
      <c r="J6" s="35" t="n"/>
      <c r="K6" s="33" t="n"/>
      <c r="L6" s="33" t="n"/>
      <c r="M6" s="33" t="n"/>
      <c r="N6" s="34">
        <f>IF(OR(O6="G",O6="D"),0,IF(AND(K6="",L6=""),0,MAX(0,IFERROR(K6+0,0)+IFERROR(L6+0,0)-IFERROR(M6+0,0))))</f>
        <v/>
      </c>
      <c r="O6" s="35" t="n"/>
      <c r="P6" s="33" t="n"/>
      <c r="Q6" s="33" t="n"/>
      <c r="R6" s="33" t="n"/>
      <c r="S6" s="34">
        <f>IF(OR(T6="G",T6="D"),0,IF(AND(P6="",Q6=""),0,MAX(0,IFERROR(P6+0,0)+IFERROR(Q6+0,0)-IFERROR(R6+0,0))))</f>
        <v/>
      </c>
      <c r="T6" s="35" t="n"/>
      <c r="U6" s="33" t="n"/>
      <c r="V6" s="33" t="n"/>
      <c r="W6" s="33" t="n"/>
      <c r="X6" s="34">
        <f>IF(OR(Y6="G",Y6="D"),0,IF(AND(U6="",V6=""),0,MAX(0,IFERROR(U6+0,0)+IFERROR(V6+0,0)-IFERROR(W6+0,0))))</f>
        <v/>
      </c>
      <c r="Y6" s="35" t="n"/>
      <c r="Z6" s="36">
        <f>IF(B6="","",IF(OR(J6="G",J6="D"),0,I6)+IF(OR(O6="G",O6="D"),0,N6)+IF(OR(T6="G",T6="D"),0,S6)+IF(OR(Y6="G",Y6="D"),0,X6))</f>
        <v/>
      </c>
      <c r="AA6" s="37">
        <f>IF(OR(B6="",Z6=0),"-",RANK.EQ(Z6,$Z$6:$Z$45,0))</f>
        <v/>
      </c>
      <c r="AB6" s="35">
        <f>IF(OR(B6="",I6=0),"-",IF(OR(J6="G",J6="D"),IF(J6="G","G","D"),COUNTIF($I$6:$I$45,"&gt;"&amp;I6)+1))</f>
        <v/>
      </c>
      <c r="AC6" s="35">
        <f>IF(OR(B6="",N6=0),"-",IF(OR(O6="G",O6="D"),IF(O6="G","G","D"),COUNTIF($N$6:$N$45,"&gt;"&amp;N6)+1))</f>
        <v/>
      </c>
      <c r="AD6" s="35">
        <f>IF(OR(B6="",S6=0),"-",IF(OR(T6="G",T6="D"),IF(T6="G","G","D"),COUNTIF($S$6:$S$45,"&gt;"&amp;S6)+1))</f>
        <v/>
      </c>
      <c r="AE6" s="35">
        <f>IF(OR(B6="",X6=0),"-",IF(OR(Y6="G",Y6="D"),IF(Y6="G","G","D"),COUNTIF($X$6:$X$45,"&gt;"&amp;X6)+1))</f>
        <v/>
      </c>
    </row>
    <row r="7">
      <c r="A7" s="38" t="n">
        <v>2</v>
      </c>
      <c r="B7" s="39" t="n"/>
      <c r="C7" s="39" t="n"/>
      <c r="D7" s="40" t="n"/>
      <c r="E7" s="41" t="n"/>
      <c r="F7" s="42" t="n"/>
      <c r="G7" s="42" t="n"/>
      <c r="H7" s="42" t="n"/>
      <c r="I7" s="34">
        <f>IF(OR(J7="G",J7="D"),0,IF(AND(F7="",G7=""),0,MAX(0,IFERROR(F7+0,0)+IFERROR(G7+0,0)-IFERROR(H7+0,0))))</f>
        <v/>
      </c>
      <c r="J7" s="43" t="n"/>
      <c r="K7" s="42" t="n"/>
      <c r="L7" s="42" t="n"/>
      <c r="M7" s="42" t="n"/>
      <c r="N7" s="34">
        <f>IF(OR(O7="G",O7="D"),0,IF(AND(K7="",L7=""),0,MAX(0,IFERROR(K7+0,0)+IFERROR(L7+0,0)-IFERROR(M7+0,0))))</f>
        <v/>
      </c>
      <c r="O7" s="43" t="n"/>
      <c r="P7" s="42" t="n"/>
      <c r="Q7" s="42" t="n"/>
      <c r="R7" s="42" t="n"/>
      <c r="S7" s="34">
        <f>IF(OR(T7="G",T7="D"),0,IF(AND(P7="",Q7=""),0,MAX(0,IFERROR(P7+0,0)+IFERROR(Q7+0,0)-IFERROR(R7+0,0))))</f>
        <v/>
      </c>
      <c r="T7" s="43" t="n"/>
      <c r="U7" s="42" t="n"/>
      <c r="V7" s="42" t="n"/>
      <c r="W7" s="42" t="n"/>
      <c r="X7" s="34">
        <f>IF(OR(Y7="G",Y7="D"),0,IF(AND(U7="",V7=""),0,MAX(0,IFERROR(U7+0,0)+IFERROR(V7+0,0)-IFERROR(W7+0,0))))</f>
        <v/>
      </c>
      <c r="Y7" s="43" t="n"/>
      <c r="Z7" s="36">
        <f>IF(B7="","",IF(OR(J7="G",J7="D"),0,I7)+IF(OR(O7="G",O7="D"),0,N7)+IF(OR(T7="G",T7="D"),0,S7)+IF(OR(Y7="G",Y7="D"),0,X7))</f>
        <v/>
      </c>
      <c r="AA7" s="37">
        <f>IF(OR(B7="",Z7=0),"-",RANK.EQ(Z7,$Z$6:$Z$45,0))</f>
        <v/>
      </c>
      <c r="AB7" s="43">
        <f>IF(OR(B7="",I7=0),"-",IF(OR(J7="G",J7="D"),IF(J7="G","G","D"),COUNTIF($I$6:$I$45,"&gt;"&amp;I7)+1))</f>
        <v/>
      </c>
      <c r="AC7" s="43">
        <f>IF(OR(B7="",N7=0),"-",IF(OR(O7="G",O7="D"),IF(O7="G","G","D"),COUNTIF($N$6:$N$45,"&gt;"&amp;N7)+1))</f>
        <v/>
      </c>
      <c r="AD7" s="43">
        <f>IF(OR(B7="",S7=0),"-",IF(OR(T7="G",T7="D"),IF(T7="G","G","D"),COUNTIF($S$6:$S$45,"&gt;"&amp;S7)+1))</f>
        <v/>
      </c>
      <c r="AE7" s="43">
        <f>IF(OR(B7="",X7=0),"-",IF(OR(Y7="G",Y7="D"),IF(Y7="G","G","D"),COUNTIF($X$6:$X$45,"&gt;"&amp;X7)+1))</f>
        <v/>
      </c>
    </row>
    <row r="8">
      <c r="A8" s="29" t="n">
        <v>3</v>
      </c>
      <c r="B8" s="30" t="n"/>
      <c r="C8" s="30" t="n"/>
      <c r="D8" s="31" t="n"/>
      <c r="E8" s="32" t="n"/>
      <c r="F8" s="33" t="n"/>
      <c r="G8" s="33" t="n"/>
      <c r="H8" s="33" t="n"/>
      <c r="I8" s="34">
        <f>IF(OR(J8="G",J8="D"),0,IF(AND(F8="",G8=""),0,MAX(0,IFERROR(F8+0,0)+IFERROR(G8+0,0)-IFERROR(H8+0,0))))</f>
        <v/>
      </c>
      <c r="J8" s="35" t="n"/>
      <c r="K8" s="33" t="n"/>
      <c r="L8" s="33" t="n"/>
      <c r="M8" s="33" t="n"/>
      <c r="N8" s="34">
        <f>IF(OR(O8="G",O8="D"),0,IF(AND(K8="",L8=""),0,MAX(0,IFERROR(K8+0,0)+IFERROR(L8+0,0)-IFERROR(M8+0,0))))</f>
        <v/>
      </c>
      <c r="O8" s="35" t="n"/>
      <c r="P8" s="33" t="n"/>
      <c r="Q8" s="33" t="n"/>
      <c r="R8" s="33" t="n"/>
      <c r="S8" s="34">
        <f>IF(OR(T8="G",T8="D"),0,IF(AND(P8="",Q8=""),0,MAX(0,IFERROR(P8+0,0)+IFERROR(Q8+0,0)-IFERROR(R8+0,0))))</f>
        <v/>
      </c>
      <c r="T8" s="35" t="n"/>
      <c r="U8" s="33" t="n"/>
      <c r="V8" s="33" t="n"/>
      <c r="W8" s="33" t="n"/>
      <c r="X8" s="34">
        <f>IF(OR(Y8="G",Y8="D"),0,IF(AND(U8="",V8=""),0,MAX(0,IFERROR(U8+0,0)+IFERROR(V8+0,0)-IFERROR(W8+0,0))))</f>
        <v/>
      </c>
      <c r="Y8" s="35" t="n"/>
      <c r="Z8" s="36">
        <f>IF(B8="","",IF(OR(J8="G",J8="D"),0,I8)+IF(OR(O8="G",O8="D"),0,N8)+IF(OR(T8="G",T8="D"),0,S8)+IF(OR(Y8="G",Y8="D"),0,X8))</f>
        <v/>
      </c>
      <c r="AA8" s="37">
        <f>IF(OR(B8="",Z8=0),"-",RANK.EQ(Z8,$Z$6:$Z$45,0))</f>
        <v/>
      </c>
      <c r="AB8" s="35">
        <f>IF(OR(B8="",I8=0),"-",IF(OR(J8="G",J8="D"),IF(J8="G","G","D"),COUNTIF($I$6:$I$45,"&gt;"&amp;I8)+1))</f>
        <v/>
      </c>
      <c r="AC8" s="35">
        <f>IF(OR(B8="",N8=0),"-",IF(OR(O8="G",O8="D"),IF(O8="G","G","D"),COUNTIF($N$6:$N$45,"&gt;"&amp;N8)+1))</f>
        <v/>
      </c>
      <c r="AD8" s="35">
        <f>IF(OR(B8="",S8=0),"-",IF(OR(T8="G",T8="D"),IF(T8="G","G","D"),COUNTIF($S$6:$S$45,"&gt;"&amp;S8)+1))</f>
        <v/>
      </c>
      <c r="AE8" s="35">
        <f>IF(OR(B8="",X8=0),"-",IF(OR(Y8="G",Y8="D"),IF(Y8="G","G","D"),COUNTIF($X$6:$X$45,"&gt;"&amp;X8)+1))</f>
        <v/>
      </c>
    </row>
    <row r="9">
      <c r="A9" s="38" t="n">
        <v>4</v>
      </c>
      <c r="B9" s="39" t="n"/>
      <c r="C9" s="39" t="n"/>
      <c r="D9" s="40" t="n"/>
      <c r="E9" s="41" t="n"/>
      <c r="F9" s="42" t="n"/>
      <c r="G9" s="42" t="n"/>
      <c r="H9" s="42" t="n"/>
      <c r="I9" s="34">
        <f>IF(OR(J9="G",J9="D"),0,IF(AND(F9="",G9=""),0,MAX(0,IFERROR(F9+0,0)+IFERROR(G9+0,0)-IFERROR(H9+0,0))))</f>
        <v/>
      </c>
      <c r="J9" s="43" t="n"/>
      <c r="K9" s="42" t="n"/>
      <c r="L9" s="42" t="n"/>
      <c r="M9" s="42" t="n"/>
      <c r="N9" s="34">
        <f>IF(OR(O9="G",O9="D"),0,IF(AND(K9="",L9=""),0,MAX(0,IFERROR(K9+0,0)+IFERROR(L9+0,0)-IFERROR(M9+0,0))))</f>
        <v/>
      </c>
      <c r="O9" s="43" t="n"/>
      <c r="P9" s="42" t="n"/>
      <c r="Q9" s="42" t="n"/>
      <c r="R9" s="42" t="n"/>
      <c r="S9" s="34">
        <f>IF(OR(T9="G",T9="D"),0,IF(AND(P9="",Q9=""),0,MAX(0,IFERROR(P9+0,0)+IFERROR(Q9+0,0)-IFERROR(R9+0,0))))</f>
        <v/>
      </c>
      <c r="T9" s="43" t="n"/>
      <c r="U9" s="42" t="n"/>
      <c r="V9" s="42" t="n"/>
      <c r="W9" s="42" t="n"/>
      <c r="X9" s="34">
        <f>IF(OR(Y9="G",Y9="D"),0,IF(AND(U9="",V9=""),0,MAX(0,IFERROR(U9+0,0)+IFERROR(V9+0,0)-IFERROR(W9+0,0))))</f>
        <v/>
      </c>
      <c r="Y9" s="43" t="n"/>
      <c r="Z9" s="36">
        <f>IF(B9="","",IF(OR(J9="G",J9="D"),0,I9)+IF(OR(O9="G",O9="D"),0,N9)+IF(OR(T9="G",T9="D"),0,S9)+IF(OR(Y9="G",Y9="D"),0,X9))</f>
        <v/>
      </c>
      <c r="AA9" s="37">
        <f>IF(OR(B9="",Z9=0),"-",RANK.EQ(Z9,$Z$6:$Z$45,0))</f>
        <v/>
      </c>
      <c r="AB9" s="43">
        <f>IF(OR(B9="",I9=0),"-",IF(OR(J9="G",J9="D"),IF(J9="G","G","D"),COUNTIF($I$6:$I$45,"&gt;"&amp;I9)+1))</f>
        <v/>
      </c>
      <c r="AC9" s="43">
        <f>IF(OR(B9="",N9=0),"-",IF(OR(O9="G",O9="D"),IF(O9="G","G","D"),COUNTIF($N$6:$N$45,"&gt;"&amp;N9)+1))</f>
        <v/>
      </c>
      <c r="AD9" s="43">
        <f>IF(OR(B9="",S9=0),"-",IF(OR(T9="G",T9="D"),IF(T9="G","G","D"),COUNTIF($S$6:$S$45,"&gt;"&amp;S9)+1))</f>
        <v/>
      </c>
      <c r="AE9" s="43">
        <f>IF(OR(B9="",X9=0),"-",IF(OR(Y9="G",Y9="D"),IF(Y9="G","G","D"),COUNTIF($X$6:$X$45,"&gt;"&amp;X9)+1))</f>
        <v/>
      </c>
    </row>
    <row r="10">
      <c r="A10" s="29" t="n">
        <v>5</v>
      </c>
      <c r="B10" s="30" t="n"/>
      <c r="C10" s="30" t="n"/>
      <c r="D10" s="31" t="n"/>
      <c r="E10" s="32" t="n"/>
      <c r="F10" s="33" t="n"/>
      <c r="G10" s="33" t="n"/>
      <c r="H10" s="33" t="n"/>
      <c r="I10" s="34">
        <f>IF(OR(J10="G",J10="D"),0,IF(AND(F10="",G10=""),0,MAX(0,IFERROR(F10+0,0)+IFERROR(G10+0,0)-IFERROR(H10+0,0))))</f>
        <v/>
      </c>
      <c r="J10" s="35" t="n"/>
      <c r="K10" s="33" t="n"/>
      <c r="L10" s="33" t="n"/>
      <c r="M10" s="33" t="n"/>
      <c r="N10" s="34">
        <f>IF(OR(O10="G",O10="D"),0,IF(AND(K10="",L10=""),0,MAX(0,IFERROR(K10+0,0)+IFERROR(L10+0,0)-IFERROR(M10+0,0))))</f>
        <v/>
      </c>
      <c r="O10" s="35" t="n"/>
      <c r="P10" s="33" t="n"/>
      <c r="Q10" s="33" t="n"/>
      <c r="R10" s="33" t="n"/>
      <c r="S10" s="34">
        <f>IF(OR(T10="G",T10="D"),0,IF(AND(P10="",Q10=""),0,MAX(0,IFERROR(P10+0,0)+IFERROR(Q10+0,0)-IFERROR(R10+0,0))))</f>
        <v/>
      </c>
      <c r="T10" s="35" t="n"/>
      <c r="U10" s="33" t="n"/>
      <c r="V10" s="33" t="n"/>
      <c r="W10" s="33" t="n"/>
      <c r="X10" s="34">
        <f>IF(OR(Y10="G",Y10="D"),0,IF(AND(U10="",V10=""),0,MAX(0,IFERROR(U10+0,0)+IFERROR(V10+0,0)-IFERROR(W10+0,0))))</f>
        <v/>
      </c>
      <c r="Y10" s="35" t="n"/>
      <c r="Z10" s="36">
        <f>IF(B10="","",IF(OR(J10="G",J10="D"),0,I10)+IF(OR(O10="G",O10="D"),0,N10)+IF(OR(T10="G",T10="D"),0,S10)+IF(OR(Y10="G",Y10="D"),0,X10))</f>
        <v/>
      </c>
      <c r="AA10" s="37">
        <f>IF(OR(B10="",Z10=0),"-",RANK.EQ(Z10,$Z$6:$Z$45,0))</f>
        <v/>
      </c>
      <c r="AB10" s="35">
        <f>IF(OR(B10="",I10=0),"-",IF(OR(J10="G",J10="D"),IF(J10="G","G","D"),COUNTIF($I$6:$I$45,"&gt;"&amp;I10)+1))</f>
        <v/>
      </c>
      <c r="AC10" s="35">
        <f>IF(OR(B10="",N10=0),"-",IF(OR(O10="G",O10="D"),IF(O10="G","G","D"),COUNTIF($N$6:$N$45,"&gt;"&amp;N10)+1))</f>
        <v/>
      </c>
      <c r="AD10" s="35">
        <f>IF(OR(B10="",S10=0),"-",IF(OR(T10="G",T10="D"),IF(T10="G","G","D"),COUNTIF($S$6:$S$45,"&gt;"&amp;S10)+1))</f>
        <v/>
      </c>
      <c r="AE10" s="35">
        <f>IF(OR(B10="",X10=0),"-",IF(OR(Y10="G",Y10="D"),IF(Y10="G","G","D"),COUNTIF($X$6:$X$45,"&gt;"&amp;X10)+1))</f>
        <v/>
      </c>
    </row>
    <row r="11">
      <c r="A11" s="38" t="n">
        <v>6</v>
      </c>
      <c r="B11" s="39" t="n"/>
      <c r="C11" s="39" t="n"/>
      <c r="D11" s="40" t="n"/>
      <c r="E11" s="41" t="n"/>
      <c r="F11" s="42" t="n"/>
      <c r="G11" s="42" t="n"/>
      <c r="H11" s="42" t="n"/>
      <c r="I11" s="34">
        <f>IF(OR(J11="G",J11="D"),0,IF(AND(F11="",G11=""),0,MAX(0,IFERROR(F11+0,0)+IFERROR(G11+0,0)-IFERROR(H11+0,0))))</f>
        <v/>
      </c>
      <c r="J11" s="43" t="n"/>
      <c r="K11" s="42" t="n"/>
      <c r="L11" s="42" t="n"/>
      <c r="M11" s="42" t="n"/>
      <c r="N11" s="34">
        <f>IF(OR(O11="G",O11="D"),0,IF(AND(K11="",L11=""),0,MAX(0,IFERROR(K11+0,0)+IFERROR(L11+0,0)-IFERROR(M11+0,0))))</f>
        <v/>
      </c>
      <c r="O11" s="43" t="n"/>
      <c r="P11" s="42" t="n"/>
      <c r="Q11" s="42" t="n"/>
      <c r="R11" s="42" t="n"/>
      <c r="S11" s="34">
        <f>IF(OR(T11="G",T11="D"),0,IF(AND(P11="",Q11=""),0,MAX(0,IFERROR(P11+0,0)+IFERROR(Q11+0,0)-IFERROR(R11+0,0))))</f>
        <v/>
      </c>
      <c r="T11" s="43" t="n"/>
      <c r="U11" s="42" t="n"/>
      <c r="V11" s="42" t="n"/>
      <c r="W11" s="42" t="n"/>
      <c r="X11" s="34">
        <f>IF(OR(Y11="G",Y11="D"),0,IF(AND(U11="",V11=""),0,MAX(0,IFERROR(U11+0,0)+IFERROR(V11+0,0)-IFERROR(W11+0,0))))</f>
        <v/>
      </c>
      <c r="Y11" s="43" t="n"/>
      <c r="Z11" s="36">
        <f>IF(B11="","",IF(OR(J11="G",J11="D"),0,I11)+IF(OR(O11="G",O11="D"),0,N11)+IF(OR(T11="G",T11="D"),0,S11)+IF(OR(Y11="G",Y11="D"),0,X11))</f>
        <v/>
      </c>
      <c r="AA11" s="37">
        <f>IF(OR(B11="",Z11=0),"-",RANK.EQ(Z11,$Z$6:$Z$45,0))</f>
        <v/>
      </c>
      <c r="AB11" s="43">
        <f>IF(OR(B11="",I11=0),"-",IF(OR(J11="G",J11="D"),IF(J11="G","G","D"),COUNTIF($I$6:$I$45,"&gt;"&amp;I11)+1))</f>
        <v/>
      </c>
      <c r="AC11" s="43">
        <f>IF(OR(B11="",N11=0),"-",IF(OR(O11="G",O11="D"),IF(O11="G","G","D"),COUNTIF($N$6:$N$45,"&gt;"&amp;N11)+1))</f>
        <v/>
      </c>
      <c r="AD11" s="43">
        <f>IF(OR(B11="",S11=0),"-",IF(OR(T11="G",T11="D"),IF(T11="G","G","D"),COUNTIF($S$6:$S$45,"&gt;"&amp;S11)+1))</f>
        <v/>
      </c>
      <c r="AE11" s="43">
        <f>IF(OR(B11="",X11=0),"-",IF(OR(Y11="G",Y11="D"),IF(Y11="G","G","D"),COUNTIF($X$6:$X$45,"&gt;"&amp;X11)+1))</f>
        <v/>
      </c>
    </row>
    <row r="12">
      <c r="A12" s="29" t="n">
        <v>7</v>
      </c>
      <c r="B12" s="30" t="n"/>
      <c r="C12" s="30" t="n"/>
      <c r="D12" s="31" t="n"/>
      <c r="E12" s="32" t="n"/>
      <c r="F12" s="33" t="n"/>
      <c r="G12" s="33" t="n"/>
      <c r="H12" s="33" t="n"/>
      <c r="I12" s="34">
        <f>IF(OR(J12="G",J12="D"),0,IF(AND(F12="",G12=""),0,MAX(0,IFERROR(F12+0,0)+IFERROR(G12+0,0)-IFERROR(H12+0,0))))</f>
        <v/>
      </c>
      <c r="J12" s="35" t="n"/>
      <c r="K12" s="33" t="n"/>
      <c r="L12" s="33" t="n"/>
      <c r="M12" s="33" t="n"/>
      <c r="N12" s="34">
        <f>IF(OR(O12="G",O12="D"),0,IF(AND(K12="",L12=""),0,MAX(0,IFERROR(K12+0,0)+IFERROR(L12+0,0)-IFERROR(M12+0,0))))</f>
        <v/>
      </c>
      <c r="O12" s="35" t="n"/>
      <c r="P12" s="33" t="n"/>
      <c r="Q12" s="33" t="n"/>
      <c r="R12" s="33" t="n"/>
      <c r="S12" s="34">
        <f>IF(OR(T12="G",T12="D"),0,IF(AND(P12="",Q12=""),0,MAX(0,IFERROR(P12+0,0)+IFERROR(Q12+0,0)-IFERROR(R12+0,0))))</f>
        <v/>
      </c>
      <c r="T12" s="35" t="n"/>
      <c r="U12" s="33" t="n"/>
      <c r="V12" s="33" t="n"/>
      <c r="W12" s="33" t="n"/>
      <c r="X12" s="34">
        <f>IF(OR(Y12="G",Y12="D"),0,IF(AND(U12="",V12=""),0,MAX(0,IFERROR(U12+0,0)+IFERROR(V12+0,0)-IFERROR(W12+0,0))))</f>
        <v/>
      </c>
      <c r="Y12" s="35" t="n"/>
      <c r="Z12" s="36">
        <f>IF(B12="","",IF(OR(J12="G",J12="D"),0,I12)+IF(OR(O12="G",O12="D"),0,N12)+IF(OR(T12="G",T12="D"),0,S12)+IF(OR(Y12="G",Y12="D"),0,X12))</f>
        <v/>
      </c>
      <c r="AA12" s="37">
        <f>IF(OR(B12="",Z12=0),"-",RANK.EQ(Z12,$Z$6:$Z$45,0))</f>
        <v/>
      </c>
      <c r="AB12" s="35">
        <f>IF(OR(B12="",I12=0),"-",IF(OR(J12="G",J12="D"),IF(J12="G","G","D"),COUNTIF($I$6:$I$45,"&gt;"&amp;I12)+1))</f>
        <v/>
      </c>
      <c r="AC12" s="35">
        <f>IF(OR(B12="",N12=0),"-",IF(OR(O12="G",O12="D"),IF(O12="G","G","D"),COUNTIF($N$6:$N$45,"&gt;"&amp;N12)+1))</f>
        <v/>
      </c>
      <c r="AD12" s="35">
        <f>IF(OR(B12="",S12=0),"-",IF(OR(T12="G",T12="D"),IF(T12="G","G","D"),COUNTIF($S$6:$S$45,"&gt;"&amp;S12)+1))</f>
        <v/>
      </c>
      <c r="AE12" s="35">
        <f>IF(OR(B12="",X12=0),"-",IF(OR(Y12="G",Y12="D"),IF(Y12="G","G","D"),COUNTIF($X$6:$X$45,"&gt;"&amp;X12)+1))</f>
        <v/>
      </c>
    </row>
    <row r="13">
      <c r="A13" s="38" t="n">
        <v>8</v>
      </c>
      <c r="B13" s="39" t="n"/>
      <c r="C13" s="39" t="n"/>
      <c r="D13" s="40" t="n"/>
      <c r="E13" s="41" t="n"/>
      <c r="F13" s="42" t="n"/>
      <c r="G13" s="42" t="n"/>
      <c r="H13" s="42" t="n"/>
      <c r="I13" s="34">
        <f>IF(OR(J13="G",J13="D"),0,IF(AND(F13="",G13=""),0,MAX(0,IFERROR(F13+0,0)+IFERROR(G13+0,0)-IFERROR(H13+0,0))))</f>
        <v/>
      </c>
      <c r="J13" s="43" t="n"/>
      <c r="K13" s="42" t="n"/>
      <c r="L13" s="42" t="n"/>
      <c r="M13" s="42" t="n"/>
      <c r="N13" s="34">
        <f>IF(OR(O13="G",O13="D"),0,IF(AND(K13="",L13=""),0,MAX(0,IFERROR(K13+0,0)+IFERROR(L13+0,0)-IFERROR(M13+0,0))))</f>
        <v/>
      </c>
      <c r="O13" s="43" t="n"/>
      <c r="P13" s="42" t="n"/>
      <c r="Q13" s="42" t="n"/>
      <c r="R13" s="42" t="n"/>
      <c r="S13" s="34">
        <f>IF(OR(T13="G",T13="D"),0,IF(AND(P13="",Q13=""),0,MAX(0,IFERROR(P13+0,0)+IFERROR(Q13+0,0)-IFERROR(R13+0,0))))</f>
        <v/>
      </c>
      <c r="T13" s="43" t="n"/>
      <c r="U13" s="42" t="n"/>
      <c r="V13" s="42" t="n"/>
      <c r="W13" s="42" t="n"/>
      <c r="X13" s="34">
        <f>IF(OR(Y13="G",Y13="D"),0,IF(AND(U13="",V13=""),0,MAX(0,IFERROR(U13+0,0)+IFERROR(V13+0,0)-IFERROR(W13+0,0))))</f>
        <v/>
      </c>
      <c r="Y13" s="43" t="n"/>
      <c r="Z13" s="36">
        <f>IF(B13="","",IF(OR(J13="G",J13="D"),0,I13)+IF(OR(O13="G",O13="D"),0,N13)+IF(OR(T13="G",T13="D"),0,S13)+IF(OR(Y13="G",Y13="D"),0,X13))</f>
        <v/>
      </c>
      <c r="AA13" s="37">
        <f>IF(OR(B13="",Z13=0),"-",RANK.EQ(Z13,$Z$6:$Z$45,0))</f>
        <v/>
      </c>
      <c r="AB13" s="43">
        <f>IF(OR(B13="",I13=0),"-",IF(OR(J13="G",J13="D"),IF(J13="G","G","D"),COUNTIF($I$6:$I$45,"&gt;"&amp;I13)+1))</f>
        <v/>
      </c>
      <c r="AC13" s="43">
        <f>IF(OR(B13="",N13=0),"-",IF(OR(O13="G",O13="D"),IF(O13="G","G","D"),COUNTIF($N$6:$N$45,"&gt;"&amp;N13)+1))</f>
        <v/>
      </c>
      <c r="AD13" s="43">
        <f>IF(OR(B13="",S13=0),"-",IF(OR(T13="G",T13="D"),IF(T13="G","G","D"),COUNTIF($S$6:$S$45,"&gt;"&amp;S13)+1))</f>
        <v/>
      </c>
      <c r="AE13" s="43">
        <f>IF(OR(B13="",X13=0),"-",IF(OR(Y13="G",Y13="D"),IF(Y13="G","G","D"),COUNTIF($X$6:$X$45,"&gt;"&amp;X13)+1))</f>
        <v/>
      </c>
    </row>
    <row r="14">
      <c r="A14" s="29" t="n">
        <v>9</v>
      </c>
      <c r="B14" s="30" t="n"/>
      <c r="C14" s="30" t="n"/>
      <c r="D14" s="31" t="n"/>
      <c r="E14" s="32" t="n"/>
      <c r="F14" s="33" t="n"/>
      <c r="G14" s="33" t="n"/>
      <c r="H14" s="33" t="n"/>
      <c r="I14" s="34">
        <f>IF(OR(J14="G",J14="D"),0,IF(AND(F14="",G14=""),0,MAX(0,IFERROR(F14+0,0)+IFERROR(G14+0,0)-IFERROR(H14+0,0))))</f>
        <v/>
      </c>
      <c r="J14" s="35" t="n"/>
      <c r="K14" s="33" t="n"/>
      <c r="L14" s="33" t="n"/>
      <c r="M14" s="33" t="n"/>
      <c r="N14" s="34">
        <f>IF(OR(O14="G",O14="D"),0,IF(AND(K14="",L14=""),0,MAX(0,IFERROR(K14+0,0)+IFERROR(L14+0,0)-IFERROR(M14+0,0))))</f>
        <v/>
      </c>
      <c r="O14" s="35" t="n"/>
      <c r="P14" s="33" t="n"/>
      <c r="Q14" s="33" t="n"/>
      <c r="R14" s="33" t="n"/>
      <c r="S14" s="34">
        <f>IF(OR(T14="G",T14="D"),0,IF(AND(P14="",Q14=""),0,MAX(0,IFERROR(P14+0,0)+IFERROR(Q14+0,0)-IFERROR(R14+0,0))))</f>
        <v/>
      </c>
      <c r="T14" s="35" t="n"/>
      <c r="U14" s="33" t="n"/>
      <c r="V14" s="33" t="n"/>
      <c r="W14" s="33" t="n"/>
      <c r="X14" s="34">
        <f>IF(OR(Y14="G",Y14="D"),0,IF(AND(U14="",V14=""),0,MAX(0,IFERROR(U14+0,0)+IFERROR(V14+0,0)-IFERROR(W14+0,0))))</f>
        <v/>
      </c>
      <c r="Y14" s="35" t="n"/>
      <c r="Z14" s="36">
        <f>IF(B14="","",IF(OR(J14="G",J14="D"),0,I14)+IF(OR(O14="G",O14="D"),0,N14)+IF(OR(T14="G",T14="D"),0,S14)+IF(OR(Y14="G",Y14="D"),0,X14))</f>
        <v/>
      </c>
      <c r="AA14" s="37">
        <f>IF(OR(B14="",Z14=0),"-",RANK.EQ(Z14,$Z$6:$Z$45,0))</f>
        <v/>
      </c>
      <c r="AB14" s="35">
        <f>IF(OR(B14="",I14=0),"-",IF(OR(J14="G",J14="D"),IF(J14="G","G","D"),COUNTIF($I$6:$I$45,"&gt;"&amp;I14)+1))</f>
        <v/>
      </c>
      <c r="AC14" s="35">
        <f>IF(OR(B14="",N14=0),"-",IF(OR(O14="G",O14="D"),IF(O14="G","G","D"),COUNTIF($N$6:$N$45,"&gt;"&amp;N14)+1))</f>
        <v/>
      </c>
      <c r="AD14" s="35">
        <f>IF(OR(B14="",S14=0),"-",IF(OR(T14="G",T14="D"),IF(T14="G","G","D"),COUNTIF($S$6:$S$45,"&gt;"&amp;S14)+1))</f>
        <v/>
      </c>
      <c r="AE14" s="35">
        <f>IF(OR(B14="",X14=0),"-",IF(OR(Y14="G",Y14="D"),IF(Y14="G","G","D"),COUNTIF($X$6:$X$45,"&gt;"&amp;X14)+1))</f>
        <v/>
      </c>
    </row>
    <row r="15">
      <c r="A15" s="38" t="n">
        <v>10</v>
      </c>
      <c r="B15" s="39" t="n"/>
      <c r="C15" s="39" t="n"/>
      <c r="D15" s="40" t="n"/>
      <c r="E15" s="41" t="n"/>
      <c r="F15" s="42" t="n"/>
      <c r="G15" s="42" t="n"/>
      <c r="H15" s="42" t="n"/>
      <c r="I15" s="34">
        <f>IF(OR(J15="G",J15="D"),0,IF(AND(F15="",G15=""),0,MAX(0,IFERROR(F15+0,0)+IFERROR(G15+0,0)-IFERROR(H15+0,0))))</f>
        <v/>
      </c>
      <c r="J15" s="43" t="n"/>
      <c r="K15" s="42" t="n"/>
      <c r="L15" s="42" t="n"/>
      <c r="M15" s="42" t="n"/>
      <c r="N15" s="34">
        <f>IF(OR(O15="G",O15="D"),0,IF(AND(K15="",L15=""),0,MAX(0,IFERROR(K15+0,0)+IFERROR(L15+0,0)-IFERROR(M15+0,0))))</f>
        <v/>
      </c>
      <c r="O15" s="43" t="n"/>
      <c r="P15" s="42" t="n"/>
      <c r="Q15" s="42" t="n"/>
      <c r="R15" s="42" t="n"/>
      <c r="S15" s="34">
        <f>IF(OR(T15="G",T15="D"),0,IF(AND(P15="",Q15=""),0,MAX(0,IFERROR(P15+0,0)+IFERROR(Q15+0,0)-IFERROR(R15+0,0))))</f>
        <v/>
      </c>
      <c r="T15" s="43" t="n"/>
      <c r="U15" s="42" t="n"/>
      <c r="V15" s="42" t="n"/>
      <c r="W15" s="42" t="n"/>
      <c r="X15" s="34">
        <f>IF(OR(Y15="G",Y15="D"),0,IF(AND(U15="",V15=""),0,MAX(0,IFERROR(U15+0,0)+IFERROR(V15+0,0)-IFERROR(W15+0,0))))</f>
        <v/>
      </c>
      <c r="Y15" s="43" t="n"/>
      <c r="Z15" s="36">
        <f>IF(B15="","",IF(OR(J15="G",J15="D"),0,I15)+IF(OR(O15="G",O15="D"),0,N15)+IF(OR(T15="G",T15="D"),0,S15)+IF(OR(Y15="G",Y15="D"),0,X15))</f>
        <v/>
      </c>
      <c r="AA15" s="37">
        <f>IF(OR(B15="",Z15=0),"-",RANK.EQ(Z15,$Z$6:$Z$45,0))</f>
        <v/>
      </c>
      <c r="AB15" s="43">
        <f>IF(OR(B15="",I15=0),"-",IF(OR(J15="G",J15="D"),IF(J15="G","G","D"),COUNTIF($I$6:$I$45,"&gt;"&amp;I15)+1))</f>
        <v/>
      </c>
      <c r="AC15" s="43">
        <f>IF(OR(B15="",N15=0),"-",IF(OR(O15="G",O15="D"),IF(O15="G","G","D"),COUNTIF($N$6:$N$45,"&gt;"&amp;N15)+1))</f>
        <v/>
      </c>
      <c r="AD15" s="43">
        <f>IF(OR(B15="",S15=0),"-",IF(OR(T15="G",T15="D"),IF(T15="G","G","D"),COUNTIF($S$6:$S$45,"&gt;"&amp;S15)+1))</f>
        <v/>
      </c>
      <c r="AE15" s="43">
        <f>IF(OR(B15="",X15=0),"-",IF(OR(Y15="G",Y15="D"),IF(Y15="G","G","D"),COUNTIF($X$6:$X$45,"&gt;"&amp;X15)+1))</f>
        <v/>
      </c>
    </row>
    <row r="16">
      <c r="A16" s="29" t="n">
        <v>11</v>
      </c>
      <c r="B16" s="30" t="n"/>
      <c r="C16" s="30" t="n"/>
      <c r="D16" s="31" t="n"/>
      <c r="E16" s="32" t="n"/>
      <c r="F16" s="33" t="n"/>
      <c r="G16" s="33" t="n"/>
      <c r="H16" s="33" t="n"/>
      <c r="I16" s="34">
        <f>IF(OR(J16="G",J16="D"),0,IF(AND(F16="",G16=""),0,MAX(0,IFERROR(F16+0,0)+IFERROR(G16+0,0)-IFERROR(H16+0,0))))</f>
        <v/>
      </c>
      <c r="J16" s="35" t="n"/>
      <c r="K16" s="33" t="n"/>
      <c r="L16" s="33" t="n"/>
      <c r="M16" s="33" t="n"/>
      <c r="N16" s="34">
        <f>IF(OR(O16="G",O16="D"),0,IF(AND(K16="",L16=""),0,MAX(0,IFERROR(K16+0,0)+IFERROR(L16+0,0)-IFERROR(M16+0,0))))</f>
        <v/>
      </c>
      <c r="O16" s="35" t="n"/>
      <c r="P16" s="33" t="n"/>
      <c r="Q16" s="33" t="n"/>
      <c r="R16" s="33" t="n"/>
      <c r="S16" s="34">
        <f>IF(OR(T16="G",T16="D"),0,IF(AND(P16="",Q16=""),0,MAX(0,IFERROR(P16+0,0)+IFERROR(Q16+0,0)-IFERROR(R16+0,0))))</f>
        <v/>
      </c>
      <c r="T16" s="35" t="n"/>
      <c r="U16" s="33" t="n"/>
      <c r="V16" s="33" t="n"/>
      <c r="W16" s="33" t="n"/>
      <c r="X16" s="34">
        <f>IF(OR(Y16="G",Y16="D"),0,IF(AND(U16="",V16=""),0,MAX(0,IFERROR(U16+0,0)+IFERROR(V16+0,0)-IFERROR(W16+0,0))))</f>
        <v/>
      </c>
      <c r="Y16" s="35" t="n"/>
      <c r="Z16" s="36">
        <f>IF(B16="","",IF(OR(J16="G",J16="D"),0,I16)+IF(OR(O16="G",O16="D"),0,N16)+IF(OR(T16="G",T16="D"),0,S16)+IF(OR(Y16="G",Y16="D"),0,X16))</f>
        <v/>
      </c>
      <c r="AA16" s="37">
        <f>IF(OR(B16="",Z16=0),"-",RANK.EQ(Z16,$Z$6:$Z$45,0))</f>
        <v/>
      </c>
      <c r="AB16" s="35">
        <f>IF(OR(B16="",I16=0),"-",IF(OR(J16="G",J16="D"),IF(J16="G","G","D"),COUNTIF($I$6:$I$45,"&gt;"&amp;I16)+1))</f>
        <v/>
      </c>
      <c r="AC16" s="35">
        <f>IF(OR(B16="",N16=0),"-",IF(OR(O16="G",O16="D"),IF(O16="G","G","D"),COUNTIF($N$6:$N$45,"&gt;"&amp;N16)+1))</f>
        <v/>
      </c>
      <c r="AD16" s="35">
        <f>IF(OR(B16="",S16=0),"-",IF(OR(T16="G",T16="D"),IF(T16="G","G","D"),COUNTIF($S$6:$S$45,"&gt;"&amp;S16)+1))</f>
        <v/>
      </c>
      <c r="AE16" s="35">
        <f>IF(OR(B16="",X16=0),"-",IF(OR(Y16="G",Y16="D"),IF(Y16="G","G","D"),COUNTIF($X$6:$X$45,"&gt;"&amp;X16)+1))</f>
        <v/>
      </c>
    </row>
    <row r="17">
      <c r="A17" s="38" t="n">
        <v>12</v>
      </c>
      <c r="B17" s="39" t="n"/>
      <c r="C17" s="39" t="n"/>
      <c r="D17" s="40" t="n"/>
      <c r="E17" s="41" t="n"/>
      <c r="F17" s="42" t="n"/>
      <c r="G17" s="42" t="n"/>
      <c r="H17" s="42" t="n"/>
      <c r="I17" s="34">
        <f>IF(OR(J17="G",J17="D"),0,IF(AND(F17="",G17=""),0,MAX(0,IFERROR(F17+0,0)+IFERROR(G17+0,0)-IFERROR(H17+0,0))))</f>
        <v/>
      </c>
      <c r="J17" s="43" t="n"/>
      <c r="K17" s="42" t="n"/>
      <c r="L17" s="42" t="n"/>
      <c r="M17" s="42" t="n"/>
      <c r="N17" s="34">
        <f>IF(OR(O17="G",O17="D"),0,IF(AND(K17="",L17=""),0,MAX(0,IFERROR(K17+0,0)+IFERROR(L17+0,0)-IFERROR(M17+0,0))))</f>
        <v/>
      </c>
      <c r="O17" s="43" t="n"/>
      <c r="P17" s="42" t="n"/>
      <c r="Q17" s="42" t="n"/>
      <c r="R17" s="42" t="n"/>
      <c r="S17" s="34">
        <f>IF(OR(T17="G",T17="D"),0,IF(AND(P17="",Q17=""),0,MAX(0,IFERROR(P17+0,0)+IFERROR(Q17+0,0)-IFERROR(R17+0,0))))</f>
        <v/>
      </c>
      <c r="T17" s="43" t="n"/>
      <c r="U17" s="42" t="n"/>
      <c r="V17" s="42" t="n"/>
      <c r="W17" s="42" t="n"/>
      <c r="X17" s="34">
        <f>IF(OR(Y17="G",Y17="D"),0,IF(AND(U17="",V17=""),0,MAX(0,IFERROR(U17+0,0)+IFERROR(V17+0,0)-IFERROR(W17+0,0))))</f>
        <v/>
      </c>
      <c r="Y17" s="43" t="n"/>
      <c r="Z17" s="36">
        <f>IF(B17="","",IF(OR(J17="G",J17="D"),0,I17)+IF(OR(O17="G",O17="D"),0,N17)+IF(OR(T17="G",T17="D"),0,S17)+IF(OR(Y17="G",Y17="D"),0,X17))</f>
        <v/>
      </c>
      <c r="AA17" s="37">
        <f>IF(OR(B17="",Z17=0),"-",RANK.EQ(Z17,$Z$6:$Z$45,0))</f>
        <v/>
      </c>
      <c r="AB17" s="43">
        <f>IF(OR(B17="",I17=0),"-",IF(OR(J17="G",J17="D"),IF(J17="G","G","D"),COUNTIF($I$6:$I$45,"&gt;"&amp;I17)+1))</f>
        <v/>
      </c>
      <c r="AC17" s="43">
        <f>IF(OR(B17="",N17=0),"-",IF(OR(O17="G",O17="D"),IF(O17="G","G","D"),COUNTIF($N$6:$N$45,"&gt;"&amp;N17)+1))</f>
        <v/>
      </c>
      <c r="AD17" s="43">
        <f>IF(OR(B17="",S17=0),"-",IF(OR(T17="G",T17="D"),IF(T17="G","G","D"),COUNTIF($S$6:$S$45,"&gt;"&amp;S17)+1))</f>
        <v/>
      </c>
      <c r="AE17" s="43">
        <f>IF(OR(B17="",X17=0),"-",IF(OR(Y17="G",Y17="D"),IF(Y17="G","G","D"),COUNTIF($X$6:$X$45,"&gt;"&amp;X17)+1))</f>
        <v/>
      </c>
    </row>
    <row r="18">
      <c r="A18" s="29" t="n">
        <v>13</v>
      </c>
      <c r="B18" s="30" t="n"/>
      <c r="C18" s="30" t="n"/>
      <c r="D18" s="31" t="n"/>
      <c r="E18" s="32" t="n"/>
      <c r="F18" s="33" t="n"/>
      <c r="G18" s="33" t="n"/>
      <c r="H18" s="33" t="n"/>
      <c r="I18" s="34">
        <f>IF(OR(J18="G",J18="D"),0,IF(AND(F18="",G18=""),0,MAX(0,IFERROR(F18+0,0)+IFERROR(G18+0,0)-IFERROR(H18+0,0))))</f>
        <v/>
      </c>
      <c r="J18" s="35" t="n"/>
      <c r="K18" s="33" t="n"/>
      <c r="L18" s="33" t="n"/>
      <c r="M18" s="33" t="n"/>
      <c r="N18" s="34">
        <f>IF(OR(O18="G",O18="D"),0,IF(AND(K18="",L18=""),0,MAX(0,IFERROR(K18+0,0)+IFERROR(L18+0,0)-IFERROR(M18+0,0))))</f>
        <v/>
      </c>
      <c r="O18" s="35" t="n"/>
      <c r="P18" s="33" t="n"/>
      <c r="Q18" s="33" t="n"/>
      <c r="R18" s="33" t="n"/>
      <c r="S18" s="34">
        <f>IF(OR(T18="G",T18="D"),0,IF(AND(P18="",Q18=""),0,MAX(0,IFERROR(P18+0,0)+IFERROR(Q18+0,0)-IFERROR(R18+0,0))))</f>
        <v/>
      </c>
      <c r="T18" s="35" t="n"/>
      <c r="U18" s="33" t="n"/>
      <c r="V18" s="33" t="n"/>
      <c r="W18" s="33" t="n"/>
      <c r="X18" s="34">
        <f>IF(OR(Y18="G",Y18="D"),0,IF(AND(U18="",V18=""),0,MAX(0,IFERROR(U18+0,0)+IFERROR(V18+0,0)-IFERROR(W18+0,0))))</f>
        <v/>
      </c>
      <c r="Y18" s="35" t="n"/>
      <c r="Z18" s="36">
        <f>IF(B18="","",IF(OR(J18="G",J18="D"),0,I18)+IF(OR(O18="G",O18="D"),0,N18)+IF(OR(T18="G",T18="D"),0,S18)+IF(OR(Y18="G",Y18="D"),0,X18))</f>
        <v/>
      </c>
      <c r="AA18" s="37">
        <f>IF(OR(B18="",Z18=0),"-",RANK.EQ(Z18,$Z$6:$Z$45,0))</f>
        <v/>
      </c>
      <c r="AB18" s="35">
        <f>IF(OR(B18="",I18=0),"-",IF(OR(J18="G",J18="D"),IF(J18="G","G","D"),COUNTIF($I$6:$I$45,"&gt;"&amp;I18)+1))</f>
        <v/>
      </c>
      <c r="AC18" s="35">
        <f>IF(OR(B18="",N18=0),"-",IF(OR(O18="G",O18="D"),IF(O18="G","G","D"),COUNTIF($N$6:$N$45,"&gt;"&amp;N18)+1))</f>
        <v/>
      </c>
      <c r="AD18" s="35">
        <f>IF(OR(B18="",S18=0),"-",IF(OR(T18="G",T18="D"),IF(T18="G","G","D"),COUNTIF($S$6:$S$45,"&gt;"&amp;S18)+1))</f>
        <v/>
      </c>
      <c r="AE18" s="35">
        <f>IF(OR(B18="",X18=0),"-",IF(OR(Y18="G",Y18="D"),IF(Y18="G","G","D"),COUNTIF($X$6:$X$45,"&gt;"&amp;X18)+1))</f>
        <v/>
      </c>
    </row>
    <row r="19">
      <c r="A19" s="38" t="n">
        <v>14</v>
      </c>
      <c r="B19" s="39" t="n"/>
      <c r="C19" s="39" t="n"/>
      <c r="D19" s="40" t="n"/>
      <c r="E19" s="41" t="n"/>
      <c r="F19" s="42" t="n"/>
      <c r="G19" s="42" t="n"/>
      <c r="H19" s="42" t="n"/>
      <c r="I19" s="34">
        <f>IF(OR(J19="G",J19="D"),0,IF(AND(F19="",G19=""),0,MAX(0,IFERROR(F19+0,0)+IFERROR(G19+0,0)-IFERROR(H19+0,0))))</f>
        <v/>
      </c>
      <c r="J19" s="43" t="n"/>
      <c r="K19" s="42" t="n"/>
      <c r="L19" s="42" t="n"/>
      <c r="M19" s="42" t="n"/>
      <c r="N19" s="34">
        <f>IF(OR(O19="G",O19="D"),0,IF(AND(K19="",L19=""),0,MAX(0,IFERROR(K19+0,0)+IFERROR(L19+0,0)-IFERROR(M19+0,0))))</f>
        <v/>
      </c>
      <c r="O19" s="43" t="n"/>
      <c r="P19" s="42" t="n"/>
      <c r="Q19" s="42" t="n"/>
      <c r="R19" s="42" t="n"/>
      <c r="S19" s="34">
        <f>IF(OR(T19="G",T19="D"),0,IF(AND(P19="",Q19=""),0,MAX(0,IFERROR(P19+0,0)+IFERROR(Q19+0,0)-IFERROR(R19+0,0))))</f>
        <v/>
      </c>
      <c r="T19" s="43" t="n"/>
      <c r="U19" s="42" t="n"/>
      <c r="V19" s="42" t="n"/>
      <c r="W19" s="42" t="n"/>
      <c r="X19" s="34">
        <f>IF(OR(Y19="G",Y19="D"),0,IF(AND(U19="",V19=""),0,MAX(0,IFERROR(U19+0,0)+IFERROR(V19+0,0)-IFERROR(W19+0,0))))</f>
        <v/>
      </c>
      <c r="Y19" s="43" t="n"/>
      <c r="Z19" s="36">
        <f>IF(B19="","",IF(OR(J19="G",J19="D"),0,I19)+IF(OR(O19="G",O19="D"),0,N19)+IF(OR(T19="G",T19="D"),0,S19)+IF(OR(Y19="G",Y19="D"),0,X19))</f>
        <v/>
      </c>
      <c r="AA19" s="37">
        <f>IF(OR(B19="",Z19=0),"-",RANK.EQ(Z19,$Z$6:$Z$45,0))</f>
        <v/>
      </c>
      <c r="AB19" s="43">
        <f>IF(OR(B19="",I19=0),"-",IF(OR(J19="G",J19="D"),IF(J19="G","G","D"),COUNTIF($I$6:$I$45,"&gt;"&amp;I19)+1))</f>
        <v/>
      </c>
      <c r="AC19" s="43">
        <f>IF(OR(B19="",N19=0),"-",IF(OR(O19="G",O19="D"),IF(O19="G","G","D"),COUNTIF($N$6:$N$45,"&gt;"&amp;N19)+1))</f>
        <v/>
      </c>
      <c r="AD19" s="43">
        <f>IF(OR(B19="",S19=0),"-",IF(OR(T19="G",T19="D"),IF(T19="G","G","D"),COUNTIF($S$6:$S$45,"&gt;"&amp;S19)+1))</f>
        <v/>
      </c>
      <c r="AE19" s="43">
        <f>IF(OR(B19="",X19=0),"-",IF(OR(Y19="G",Y19="D"),IF(Y19="G","G","D"),COUNTIF($X$6:$X$45,"&gt;"&amp;X19)+1))</f>
        <v/>
      </c>
    </row>
    <row r="20">
      <c r="A20" s="29" t="n">
        <v>15</v>
      </c>
      <c r="B20" s="30" t="n"/>
      <c r="C20" s="30" t="n"/>
      <c r="D20" s="31" t="n"/>
      <c r="E20" s="32" t="n"/>
      <c r="F20" s="33" t="n"/>
      <c r="G20" s="33" t="n"/>
      <c r="H20" s="33" t="n"/>
      <c r="I20" s="34">
        <f>IF(OR(J20="G",J20="D"),0,IF(AND(F20="",G20=""),0,MAX(0,IFERROR(F20+0,0)+IFERROR(G20+0,0)-IFERROR(H20+0,0))))</f>
        <v/>
      </c>
      <c r="J20" s="35" t="n"/>
      <c r="K20" s="33" t="n"/>
      <c r="L20" s="33" t="n"/>
      <c r="M20" s="33" t="n"/>
      <c r="N20" s="34">
        <f>IF(OR(O20="G",O20="D"),0,IF(AND(K20="",L20=""),0,MAX(0,IFERROR(K20+0,0)+IFERROR(L20+0,0)-IFERROR(M20+0,0))))</f>
        <v/>
      </c>
      <c r="O20" s="35" t="n"/>
      <c r="P20" s="33" t="n"/>
      <c r="Q20" s="33" t="n"/>
      <c r="R20" s="33" t="n"/>
      <c r="S20" s="34">
        <f>IF(OR(T20="G",T20="D"),0,IF(AND(P20="",Q20=""),0,MAX(0,IFERROR(P20+0,0)+IFERROR(Q20+0,0)-IFERROR(R20+0,0))))</f>
        <v/>
      </c>
      <c r="T20" s="35" t="n"/>
      <c r="U20" s="33" t="n"/>
      <c r="V20" s="33" t="n"/>
      <c r="W20" s="33" t="n"/>
      <c r="X20" s="34">
        <f>IF(OR(Y20="G",Y20="D"),0,IF(AND(U20="",V20=""),0,MAX(0,IFERROR(U20+0,0)+IFERROR(V20+0,0)-IFERROR(W20+0,0))))</f>
        <v/>
      </c>
      <c r="Y20" s="35" t="n"/>
      <c r="Z20" s="36">
        <f>IF(B20="","",IF(OR(J20="G",J20="D"),0,I20)+IF(OR(O20="G",O20="D"),0,N20)+IF(OR(T20="G",T20="D"),0,S20)+IF(OR(Y20="G",Y20="D"),0,X20))</f>
        <v/>
      </c>
      <c r="AA20" s="37">
        <f>IF(OR(B20="",Z20=0),"-",RANK.EQ(Z20,$Z$6:$Z$45,0))</f>
        <v/>
      </c>
      <c r="AB20" s="35">
        <f>IF(OR(B20="",I20=0),"-",IF(OR(J20="G",J20="D"),IF(J20="G","G","D"),COUNTIF($I$6:$I$45,"&gt;"&amp;I20)+1))</f>
        <v/>
      </c>
      <c r="AC20" s="35">
        <f>IF(OR(B20="",N20=0),"-",IF(OR(O20="G",O20="D"),IF(O20="G","G","D"),COUNTIF($N$6:$N$45,"&gt;"&amp;N20)+1))</f>
        <v/>
      </c>
      <c r="AD20" s="35">
        <f>IF(OR(B20="",S20=0),"-",IF(OR(T20="G",T20="D"),IF(T20="G","G","D"),COUNTIF($S$6:$S$45,"&gt;"&amp;S20)+1))</f>
        <v/>
      </c>
      <c r="AE20" s="35">
        <f>IF(OR(B20="",X20=0),"-",IF(OR(Y20="G",Y20="D"),IF(Y20="G","G","D"),COUNTIF($X$6:$X$45,"&gt;"&amp;X20)+1))</f>
        <v/>
      </c>
    </row>
    <row r="21">
      <c r="A21" s="38" t="n">
        <v>16</v>
      </c>
      <c r="B21" s="39" t="n"/>
      <c r="C21" s="39" t="n"/>
      <c r="D21" s="40" t="n"/>
      <c r="E21" s="41" t="n"/>
      <c r="F21" s="42" t="n"/>
      <c r="G21" s="42" t="n"/>
      <c r="H21" s="42" t="n"/>
      <c r="I21" s="34">
        <f>IF(OR(J21="G",J21="D"),0,IF(AND(F21="",G21=""),0,MAX(0,IFERROR(F21+0,0)+IFERROR(G21+0,0)-IFERROR(H21+0,0))))</f>
        <v/>
      </c>
      <c r="J21" s="43" t="n"/>
      <c r="K21" s="42" t="n"/>
      <c r="L21" s="42" t="n"/>
      <c r="M21" s="42" t="n"/>
      <c r="N21" s="34">
        <f>IF(OR(O21="G",O21="D"),0,IF(AND(K21="",L21=""),0,MAX(0,IFERROR(K21+0,0)+IFERROR(L21+0,0)-IFERROR(M21+0,0))))</f>
        <v/>
      </c>
      <c r="O21" s="43" t="n"/>
      <c r="P21" s="42" t="n"/>
      <c r="Q21" s="42" t="n"/>
      <c r="R21" s="42" t="n"/>
      <c r="S21" s="34">
        <f>IF(OR(T21="G",T21="D"),0,IF(AND(P21="",Q21=""),0,MAX(0,IFERROR(P21+0,0)+IFERROR(Q21+0,0)-IFERROR(R21+0,0))))</f>
        <v/>
      </c>
      <c r="T21" s="43" t="n"/>
      <c r="U21" s="42" t="n"/>
      <c r="V21" s="42" t="n"/>
      <c r="W21" s="42" t="n"/>
      <c r="X21" s="34">
        <f>IF(OR(Y21="G",Y21="D"),0,IF(AND(U21="",V21=""),0,MAX(0,IFERROR(U21+0,0)+IFERROR(V21+0,0)-IFERROR(W21+0,0))))</f>
        <v/>
      </c>
      <c r="Y21" s="43" t="n"/>
      <c r="Z21" s="36">
        <f>IF(B21="","",IF(OR(J21="G",J21="D"),0,I21)+IF(OR(O21="G",O21="D"),0,N21)+IF(OR(T21="G",T21="D"),0,S21)+IF(OR(Y21="G",Y21="D"),0,X21))</f>
        <v/>
      </c>
      <c r="AA21" s="37">
        <f>IF(OR(B21="",Z21=0),"-",RANK.EQ(Z21,$Z$6:$Z$45,0))</f>
        <v/>
      </c>
      <c r="AB21" s="43">
        <f>IF(OR(B21="",I21=0),"-",IF(OR(J21="G",J21="D"),IF(J21="G","G","D"),COUNTIF($I$6:$I$45,"&gt;"&amp;I21)+1))</f>
        <v/>
      </c>
      <c r="AC21" s="43">
        <f>IF(OR(B21="",N21=0),"-",IF(OR(O21="G",O21="D"),IF(O21="G","G","D"),COUNTIF($N$6:$N$45,"&gt;"&amp;N21)+1))</f>
        <v/>
      </c>
      <c r="AD21" s="43">
        <f>IF(OR(B21="",S21=0),"-",IF(OR(T21="G",T21="D"),IF(T21="G","G","D"),COUNTIF($S$6:$S$45,"&gt;"&amp;S21)+1))</f>
        <v/>
      </c>
      <c r="AE21" s="43">
        <f>IF(OR(B21="",X21=0),"-",IF(OR(Y21="G",Y21="D"),IF(Y21="G","G","D"),COUNTIF($X$6:$X$45,"&gt;"&amp;X21)+1))</f>
        <v/>
      </c>
    </row>
    <row r="22">
      <c r="A22" s="29" t="n">
        <v>17</v>
      </c>
      <c r="B22" s="30" t="n"/>
      <c r="C22" s="30" t="n"/>
      <c r="D22" s="31" t="n"/>
      <c r="E22" s="32" t="n"/>
      <c r="F22" s="33" t="n"/>
      <c r="G22" s="33" t="n"/>
      <c r="H22" s="33" t="n"/>
      <c r="I22" s="34">
        <f>IF(OR(J22="G",J22="D"),0,IF(AND(F22="",G22=""),0,MAX(0,IFERROR(F22+0,0)+IFERROR(G22+0,0)-IFERROR(H22+0,0))))</f>
        <v/>
      </c>
      <c r="J22" s="35" t="n"/>
      <c r="K22" s="33" t="n"/>
      <c r="L22" s="33" t="n"/>
      <c r="M22" s="33" t="n"/>
      <c r="N22" s="34">
        <f>IF(OR(O22="G",O22="D"),0,IF(AND(K22="",L22=""),0,MAX(0,IFERROR(K22+0,0)+IFERROR(L22+0,0)-IFERROR(M22+0,0))))</f>
        <v/>
      </c>
      <c r="O22" s="35" t="n"/>
      <c r="P22" s="33" t="n"/>
      <c r="Q22" s="33" t="n"/>
      <c r="R22" s="33" t="n"/>
      <c r="S22" s="34">
        <f>IF(OR(T22="G",T22="D"),0,IF(AND(P22="",Q22=""),0,MAX(0,IFERROR(P22+0,0)+IFERROR(Q22+0,0)-IFERROR(R22+0,0))))</f>
        <v/>
      </c>
      <c r="T22" s="35" t="n"/>
      <c r="U22" s="33" t="n"/>
      <c r="V22" s="33" t="n"/>
      <c r="W22" s="33" t="n"/>
      <c r="X22" s="34">
        <f>IF(OR(Y22="G",Y22="D"),0,IF(AND(U22="",V22=""),0,MAX(0,IFERROR(U22+0,0)+IFERROR(V22+0,0)-IFERROR(W22+0,0))))</f>
        <v/>
      </c>
      <c r="Y22" s="35" t="n"/>
      <c r="Z22" s="36">
        <f>IF(B22="","",IF(OR(J22="G",J22="D"),0,I22)+IF(OR(O22="G",O22="D"),0,N22)+IF(OR(T22="G",T22="D"),0,S22)+IF(OR(Y22="G",Y22="D"),0,X22))</f>
        <v/>
      </c>
      <c r="AA22" s="37">
        <f>IF(OR(B22="",Z22=0),"-",RANK.EQ(Z22,$Z$6:$Z$45,0))</f>
        <v/>
      </c>
      <c r="AB22" s="35">
        <f>IF(OR(B22="",I22=0),"-",IF(OR(J22="G",J22="D"),IF(J22="G","G","D"),COUNTIF($I$6:$I$45,"&gt;"&amp;I22)+1))</f>
        <v/>
      </c>
      <c r="AC22" s="35">
        <f>IF(OR(B22="",N22=0),"-",IF(OR(O22="G",O22="D"),IF(O22="G","G","D"),COUNTIF($N$6:$N$45,"&gt;"&amp;N22)+1))</f>
        <v/>
      </c>
      <c r="AD22" s="35">
        <f>IF(OR(B22="",S22=0),"-",IF(OR(T22="G",T22="D"),IF(T22="G","G","D"),COUNTIF($S$6:$S$45,"&gt;"&amp;S22)+1))</f>
        <v/>
      </c>
      <c r="AE22" s="35">
        <f>IF(OR(B22="",X22=0),"-",IF(OR(Y22="G",Y22="D"),IF(Y22="G","G","D"),COUNTIF($X$6:$X$45,"&gt;"&amp;X22)+1))</f>
        <v/>
      </c>
    </row>
    <row r="23">
      <c r="A23" s="38" t="n">
        <v>18</v>
      </c>
      <c r="B23" s="39" t="n"/>
      <c r="C23" s="39" t="n"/>
      <c r="D23" s="40" t="n"/>
      <c r="E23" s="41" t="n"/>
      <c r="F23" s="42" t="n"/>
      <c r="G23" s="42" t="n"/>
      <c r="H23" s="42" t="n"/>
      <c r="I23" s="34">
        <f>IF(OR(J23="G",J23="D"),0,IF(AND(F23="",G23=""),0,MAX(0,IFERROR(F23+0,0)+IFERROR(G23+0,0)-IFERROR(H23+0,0))))</f>
        <v/>
      </c>
      <c r="J23" s="43" t="n"/>
      <c r="K23" s="42" t="n"/>
      <c r="L23" s="42" t="n"/>
      <c r="M23" s="42" t="n"/>
      <c r="N23" s="34">
        <f>IF(OR(O23="G",O23="D"),0,IF(AND(K23="",L23=""),0,MAX(0,IFERROR(K23+0,0)+IFERROR(L23+0,0)-IFERROR(M23+0,0))))</f>
        <v/>
      </c>
      <c r="O23" s="43" t="n"/>
      <c r="P23" s="42" t="n"/>
      <c r="Q23" s="42" t="n"/>
      <c r="R23" s="42" t="n"/>
      <c r="S23" s="34">
        <f>IF(OR(T23="G",T23="D"),0,IF(AND(P23="",Q23=""),0,MAX(0,IFERROR(P23+0,0)+IFERROR(Q23+0,0)-IFERROR(R23+0,0))))</f>
        <v/>
      </c>
      <c r="T23" s="43" t="n"/>
      <c r="U23" s="42" t="n"/>
      <c r="V23" s="42" t="n"/>
      <c r="W23" s="42" t="n"/>
      <c r="X23" s="34">
        <f>IF(OR(Y23="G",Y23="D"),0,IF(AND(U23="",V23=""),0,MAX(0,IFERROR(U23+0,0)+IFERROR(V23+0,0)-IFERROR(W23+0,0))))</f>
        <v/>
      </c>
      <c r="Y23" s="43" t="n"/>
      <c r="Z23" s="36">
        <f>IF(B23="","",IF(OR(J23="G",J23="D"),0,I23)+IF(OR(O23="G",O23="D"),0,N23)+IF(OR(T23="G",T23="D"),0,S23)+IF(OR(Y23="G",Y23="D"),0,X23))</f>
        <v/>
      </c>
      <c r="AA23" s="37">
        <f>IF(OR(B23="",Z23=0),"-",RANK.EQ(Z23,$Z$6:$Z$45,0))</f>
        <v/>
      </c>
      <c r="AB23" s="43">
        <f>IF(OR(B23="",I23=0),"-",IF(OR(J23="G",J23="D"),IF(J23="G","G","D"),COUNTIF($I$6:$I$45,"&gt;"&amp;I23)+1))</f>
        <v/>
      </c>
      <c r="AC23" s="43">
        <f>IF(OR(B23="",N23=0),"-",IF(OR(O23="G",O23="D"),IF(O23="G","G","D"),COUNTIF($N$6:$N$45,"&gt;"&amp;N23)+1))</f>
        <v/>
      </c>
      <c r="AD23" s="43">
        <f>IF(OR(B23="",S23=0),"-",IF(OR(T23="G",T23="D"),IF(T23="G","G","D"),COUNTIF($S$6:$S$45,"&gt;"&amp;S23)+1))</f>
        <v/>
      </c>
      <c r="AE23" s="43">
        <f>IF(OR(B23="",X23=0),"-",IF(OR(Y23="G",Y23="D"),IF(Y23="G","G","D"),COUNTIF($X$6:$X$45,"&gt;"&amp;X23)+1))</f>
        <v/>
      </c>
    </row>
    <row r="24">
      <c r="A24" s="29" t="n">
        <v>19</v>
      </c>
      <c r="B24" s="30" t="n"/>
      <c r="C24" s="30" t="n"/>
      <c r="D24" s="31" t="n"/>
      <c r="E24" s="32" t="n"/>
      <c r="F24" s="33" t="n"/>
      <c r="G24" s="33" t="n"/>
      <c r="H24" s="33" t="n"/>
      <c r="I24" s="34">
        <f>IF(OR(J24="G",J24="D"),0,IF(AND(F24="",G24=""),0,MAX(0,IFERROR(F24+0,0)+IFERROR(G24+0,0)-IFERROR(H24+0,0))))</f>
        <v/>
      </c>
      <c r="J24" s="35" t="n"/>
      <c r="K24" s="33" t="n"/>
      <c r="L24" s="33" t="n"/>
      <c r="M24" s="33" t="n"/>
      <c r="N24" s="34">
        <f>IF(OR(O24="G",O24="D"),0,IF(AND(K24="",L24=""),0,MAX(0,IFERROR(K24+0,0)+IFERROR(L24+0,0)-IFERROR(M24+0,0))))</f>
        <v/>
      </c>
      <c r="O24" s="35" t="n"/>
      <c r="P24" s="33" t="n"/>
      <c r="Q24" s="33" t="n"/>
      <c r="R24" s="33" t="n"/>
      <c r="S24" s="34">
        <f>IF(OR(T24="G",T24="D"),0,IF(AND(P24="",Q24=""),0,MAX(0,IFERROR(P24+0,0)+IFERROR(Q24+0,0)-IFERROR(R24+0,0))))</f>
        <v/>
      </c>
      <c r="T24" s="35" t="n"/>
      <c r="U24" s="33" t="n"/>
      <c r="V24" s="33" t="n"/>
      <c r="W24" s="33" t="n"/>
      <c r="X24" s="34">
        <f>IF(OR(Y24="G",Y24="D"),0,IF(AND(U24="",V24=""),0,MAX(0,IFERROR(U24+0,0)+IFERROR(V24+0,0)-IFERROR(W24+0,0))))</f>
        <v/>
      </c>
      <c r="Y24" s="35" t="n"/>
      <c r="Z24" s="36">
        <f>IF(B24="","",IF(OR(J24="G",J24="D"),0,I24)+IF(OR(O24="G",O24="D"),0,N24)+IF(OR(T24="G",T24="D"),0,S24)+IF(OR(Y24="G",Y24="D"),0,X24))</f>
        <v/>
      </c>
      <c r="AA24" s="37">
        <f>IF(OR(B24="",Z24=0),"-",RANK.EQ(Z24,$Z$6:$Z$45,0))</f>
        <v/>
      </c>
      <c r="AB24" s="35">
        <f>IF(OR(B24="",I24=0),"-",IF(OR(J24="G",J24="D"),IF(J24="G","G","D"),COUNTIF($I$6:$I$45,"&gt;"&amp;I24)+1))</f>
        <v/>
      </c>
      <c r="AC24" s="35">
        <f>IF(OR(B24="",N24=0),"-",IF(OR(O24="G",O24="D"),IF(O24="G","G","D"),COUNTIF($N$6:$N$45,"&gt;"&amp;N24)+1))</f>
        <v/>
      </c>
      <c r="AD24" s="35">
        <f>IF(OR(B24="",S24=0),"-",IF(OR(T24="G",T24="D"),IF(T24="G","G","D"),COUNTIF($S$6:$S$45,"&gt;"&amp;S24)+1))</f>
        <v/>
      </c>
      <c r="AE24" s="35">
        <f>IF(OR(B24="",X24=0),"-",IF(OR(Y24="G",Y24="D"),IF(Y24="G","G","D"),COUNTIF($X$6:$X$45,"&gt;"&amp;X24)+1))</f>
        <v/>
      </c>
    </row>
    <row r="25">
      <c r="A25" s="38" t="n">
        <v>20</v>
      </c>
      <c r="B25" s="39" t="n"/>
      <c r="C25" s="39" t="n"/>
      <c r="D25" s="40" t="n"/>
      <c r="E25" s="41" t="n"/>
      <c r="F25" s="42" t="n"/>
      <c r="G25" s="42" t="n"/>
      <c r="H25" s="42" t="n"/>
      <c r="I25" s="34">
        <f>IF(OR(J25="G",J25="D"),0,IF(AND(F25="",G25=""),0,MAX(0,IFERROR(F25+0,0)+IFERROR(G25+0,0)-IFERROR(H25+0,0))))</f>
        <v/>
      </c>
      <c r="J25" s="43" t="n"/>
      <c r="K25" s="42" t="n"/>
      <c r="L25" s="42" t="n"/>
      <c r="M25" s="42" t="n"/>
      <c r="N25" s="34">
        <f>IF(OR(O25="G",O25="D"),0,IF(AND(K25="",L25=""),0,MAX(0,IFERROR(K25+0,0)+IFERROR(L25+0,0)-IFERROR(M25+0,0))))</f>
        <v/>
      </c>
      <c r="O25" s="43" t="n"/>
      <c r="P25" s="42" t="n"/>
      <c r="Q25" s="42" t="n"/>
      <c r="R25" s="42" t="n"/>
      <c r="S25" s="34">
        <f>IF(OR(T25="G",T25="D"),0,IF(AND(P25="",Q25=""),0,MAX(0,IFERROR(P25+0,0)+IFERROR(Q25+0,0)-IFERROR(R25+0,0))))</f>
        <v/>
      </c>
      <c r="T25" s="43" t="n"/>
      <c r="U25" s="42" t="n"/>
      <c r="V25" s="42" t="n"/>
      <c r="W25" s="42" t="n"/>
      <c r="X25" s="34">
        <f>IF(OR(Y25="G",Y25="D"),0,IF(AND(U25="",V25=""),0,MAX(0,IFERROR(U25+0,0)+IFERROR(V25+0,0)-IFERROR(W25+0,0))))</f>
        <v/>
      </c>
      <c r="Y25" s="43" t="n"/>
      <c r="Z25" s="36">
        <f>IF(B25="","",IF(OR(J25="G",J25="D"),0,I25)+IF(OR(O25="G",O25="D"),0,N25)+IF(OR(T25="G",T25="D"),0,S25)+IF(OR(Y25="G",Y25="D"),0,X25))</f>
        <v/>
      </c>
      <c r="AA25" s="37">
        <f>IF(OR(B25="",Z25=0),"-",RANK.EQ(Z25,$Z$6:$Z$45,0))</f>
        <v/>
      </c>
      <c r="AB25" s="43">
        <f>IF(OR(B25="",I25=0),"-",IF(OR(J25="G",J25="D"),IF(J25="G","G","D"),COUNTIF($I$6:$I$45,"&gt;"&amp;I25)+1))</f>
        <v/>
      </c>
      <c r="AC25" s="43">
        <f>IF(OR(B25="",N25=0),"-",IF(OR(O25="G",O25="D"),IF(O25="G","G","D"),COUNTIF($N$6:$N$45,"&gt;"&amp;N25)+1))</f>
        <v/>
      </c>
      <c r="AD25" s="43">
        <f>IF(OR(B25="",S25=0),"-",IF(OR(T25="G",T25="D"),IF(T25="G","G","D"),COUNTIF($S$6:$S$45,"&gt;"&amp;S25)+1))</f>
        <v/>
      </c>
      <c r="AE25" s="43">
        <f>IF(OR(B25="",X25=0),"-",IF(OR(Y25="G",Y25="D"),IF(Y25="G","G","D"),COUNTIF($X$6:$X$45,"&gt;"&amp;X25)+1))</f>
        <v/>
      </c>
    </row>
    <row r="26">
      <c r="A26" s="29" t="n">
        <v>21</v>
      </c>
      <c r="B26" s="30" t="n"/>
      <c r="C26" s="30" t="n"/>
      <c r="D26" s="31" t="n"/>
      <c r="E26" s="32" t="n"/>
      <c r="F26" s="33" t="n"/>
      <c r="G26" s="33" t="n"/>
      <c r="H26" s="33" t="n"/>
      <c r="I26" s="34">
        <f>IF(OR(J26="G",J26="D"),0,IF(AND(F26="",G26=""),0,MAX(0,IFERROR(F26+0,0)+IFERROR(G26+0,0)-IFERROR(H26+0,0))))</f>
        <v/>
      </c>
      <c r="J26" s="35" t="n"/>
      <c r="K26" s="33" t="n"/>
      <c r="L26" s="33" t="n"/>
      <c r="M26" s="33" t="n"/>
      <c r="N26" s="34">
        <f>IF(OR(O26="G",O26="D"),0,IF(AND(K26="",L26=""),0,MAX(0,IFERROR(K26+0,0)+IFERROR(L26+0,0)-IFERROR(M26+0,0))))</f>
        <v/>
      </c>
      <c r="O26" s="35" t="n"/>
      <c r="P26" s="33" t="n"/>
      <c r="Q26" s="33" t="n"/>
      <c r="R26" s="33" t="n"/>
      <c r="S26" s="34">
        <f>IF(OR(T26="G",T26="D"),0,IF(AND(P26="",Q26=""),0,MAX(0,IFERROR(P26+0,0)+IFERROR(Q26+0,0)-IFERROR(R26+0,0))))</f>
        <v/>
      </c>
      <c r="T26" s="35" t="n"/>
      <c r="U26" s="33" t="n"/>
      <c r="V26" s="33" t="n"/>
      <c r="W26" s="33" t="n"/>
      <c r="X26" s="34">
        <f>IF(OR(Y26="G",Y26="D"),0,IF(AND(U26="",V26=""),0,MAX(0,IFERROR(U26+0,0)+IFERROR(V26+0,0)-IFERROR(W26+0,0))))</f>
        <v/>
      </c>
      <c r="Y26" s="35" t="n"/>
      <c r="Z26" s="36">
        <f>IF(B26="","",IF(OR(J26="G",J26="D"),0,I26)+IF(OR(O26="G",O26="D"),0,N26)+IF(OR(T26="G",T26="D"),0,S26)+IF(OR(Y26="G",Y26="D"),0,X26))</f>
        <v/>
      </c>
      <c r="AA26" s="37">
        <f>IF(OR(B26="",Z26=0),"-",RANK.EQ(Z26,$Z$6:$Z$45,0))</f>
        <v/>
      </c>
      <c r="AB26" s="35">
        <f>IF(OR(B26="",I26=0),"-",IF(OR(J26="G",J26="D"),IF(J26="G","G","D"),COUNTIF($I$6:$I$45,"&gt;"&amp;I26)+1))</f>
        <v/>
      </c>
      <c r="AC26" s="35">
        <f>IF(OR(B26="",N26=0),"-",IF(OR(O26="G",O26="D"),IF(O26="G","G","D"),COUNTIF($N$6:$N$45,"&gt;"&amp;N26)+1))</f>
        <v/>
      </c>
      <c r="AD26" s="35">
        <f>IF(OR(B26="",S26=0),"-",IF(OR(T26="G",T26="D"),IF(T26="G","G","D"),COUNTIF($S$6:$S$45,"&gt;"&amp;S26)+1))</f>
        <v/>
      </c>
      <c r="AE26" s="35">
        <f>IF(OR(B26="",X26=0),"-",IF(OR(Y26="G",Y26="D"),IF(Y26="G","G","D"),COUNTIF($X$6:$X$45,"&gt;"&amp;X26)+1))</f>
        <v/>
      </c>
    </row>
    <row r="27">
      <c r="A27" s="38" t="n">
        <v>22</v>
      </c>
      <c r="B27" s="39" t="n"/>
      <c r="C27" s="39" t="n"/>
      <c r="D27" s="40" t="n"/>
      <c r="E27" s="41" t="n"/>
      <c r="F27" s="42" t="n"/>
      <c r="G27" s="42" t="n"/>
      <c r="H27" s="42" t="n"/>
      <c r="I27" s="34">
        <f>IF(OR(J27="G",J27="D"),0,IF(AND(F27="",G27=""),0,MAX(0,IFERROR(F27+0,0)+IFERROR(G27+0,0)-IFERROR(H27+0,0))))</f>
        <v/>
      </c>
      <c r="J27" s="43" t="n"/>
      <c r="K27" s="42" t="n"/>
      <c r="L27" s="42" t="n"/>
      <c r="M27" s="42" t="n"/>
      <c r="N27" s="34">
        <f>IF(OR(O27="G",O27="D"),0,IF(AND(K27="",L27=""),0,MAX(0,IFERROR(K27+0,0)+IFERROR(L27+0,0)-IFERROR(M27+0,0))))</f>
        <v/>
      </c>
      <c r="O27" s="43" t="n"/>
      <c r="P27" s="42" t="n"/>
      <c r="Q27" s="42" t="n"/>
      <c r="R27" s="42" t="n"/>
      <c r="S27" s="34">
        <f>IF(OR(T27="G",T27="D"),0,IF(AND(P27="",Q27=""),0,MAX(0,IFERROR(P27+0,0)+IFERROR(Q27+0,0)-IFERROR(R27+0,0))))</f>
        <v/>
      </c>
      <c r="T27" s="43" t="n"/>
      <c r="U27" s="42" t="n"/>
      <c r="V27" s="42" t="n"/>
      <c r="W27" s="42" t="n"/>
      <c r="X27" s="34">
        <f>IF(OR(Y27="G",Y27="D"),0,IF(AND(U27="",V27=""),0,MAX(0,IFERROR(U27+0,0)+IFERROR(V27+0,0)-IFERROR(W27+0,0))))</f>
        <v/>
      </c>
      <c r="Y27" s="43" t="n"/>
      <c r="Z27" s="36">
        <f>IF(B27="","",IF(OR(J27="G",J27="D"),0,I27)+IF(OR(O27="G",O27="D"),0,N27)+IF(OR(T27="G",T27="D"),0,S27)+IF(OR(Y27="G",Y27="D"),0,X27))</f>
        <v/>
      </c>
      <c r="AA27" s="37">
        <f>IF(OR(B27="",Z27=0),"-",RANK.EQ(Z27,$Z$6:$Z$45,0))</f>
        <v/>
      </c>
      <c r="AB27" s="43">
        <f>IF(OR(B27="",I27=0),"-",IF(OR(J27="G",J27="D"),IF(J27="G","G","D"),COUNTIF($I$6:$I$45,"&gt;"&amp;I27)+1))</f>
        <v/>
      </c>
      <c r="AC27" s="43">
        <f>IF(OR(B27="",N27=0),"-",IF(OR(O27="G",O27="D"),IF(O27="G","G","D"),COUNTIF($N$6:$N$45,"&gt;"&amp;N27)+1))</f>
        <v/>
      </c>
      <c r="AD27" s="43">
        <f>IF(OR(B27="",S27=0),"-",IF(OR(T27="G",T27="D"),IF(T27="G","G","D"),COUNTIF($S$6:$S$45,"&gt;"&amp;S27)+1))</f>
        <v/>
      </c>
      <c r="AE27" s="43">
        <f>IF(OR(B27="",X27=0),"-",IF(OR(Y27="G",Y27="D"),IF(Y27="G","G","D"),COUNTIF($X$6:$X$45,"&gt;"&amp;X27)+1))</f>
        <v/>
      </c>
    </row>
    <row r="28">
      <c r="A28" s="29" t="n">
        <v>23</v>
      </c>
      <c r="B28" s="30" t="n"/>
      <c r="C28" s="30" t="n"/>
      <c r="D28" s="31" t="n"/>
      <c r="E28" s="32" t="n"/>
      <c r="F28" s="33" t="n"/>
      <c r="G28" s="33" t="n"/>
      <c r="H28" s="33" t="n"/>
      <c r="I28" s="34">
        <f>IF(OR(J28="G",J28="D"),0,IF(AND(F28="",G28=""),0,MAX(0,IFERROR(F28+0,0)+IFERROR(G28+0,0)-IFERROR(H28+0,0))))</f>
        <v/>
      </c>
      <c r="J28" s="35" t="n"/>
      <c r="K28" s="33" t="n"/>
      <c r="L28" s="33" t="n"/>
      <c r="M28" s="33" t="n"/>
      <c r="N28" s="34">
        <f>IF(OR(O28="G",O28="D"),0,IF(AND(K28="",L28=""),0,MAX(0,IFERROR(K28+0,0)+IFERROR(L28+0,0)-IFERROR(M28+0,0))))</f>
        <v/>
      </c>
      <c r="O28" s="35" t="n"/>
      <c r="P28" s="33" t="n"/>
      <c r="Q28" s="33" t="n"/>
      <c r="R28" s="33" t="n"/>
      <c r="S28" s="34">
        <f>IF(OR(T28="G",T28="D"),0,IF(AND(P28="",Q28=""),0,MAX(0,IFERROR(P28+0,0)+IFERROR(Q28+0,0)-IFERROR(R28+0,0))))</f>
        <v/>
      </c>
      <c r="T28" s="35" t="n"/>
      <c r="U28" s="33" t="n"/>
      <c r="V28" s="33" t="n"/>
      <c r="W28" s="33" t="n"/>
      <c r="X28" s="34">
        <f>IF(OR(Y28="G",Y28="D"),0,IF(AND(U28="",V28=""),0,MAX(0,IFERROR(U28+0,0)+IFERROR(V28+0,0)-IFERROR(W28+0,0))))</f>
        <v/>
      </c>
      <c r="Y28" s="35" t="n"/>
      <c r="Z28" s="36">
        <f>IF(B28="","",IF(OR(J28="G",J28="D"),0,I28)+IF(OR(O28="G",O28="D"),0,N28)+IF(OR(T28="G",T28="D"),0,S28)+IF(OR(Y28="G",Y28="D"),0,X28))</f>
        <v/>
      </c>
      <c r="AA28" s="37">
        <f>IF(OR(B28="",Z28=0),"-",RANK.EQ(Z28,$Z$6:$Z$45,0))</f>
        <v/>
      </c>
      <c r="AB28" s="35">
        <f>IF(OR(B28="",I28=0),"-",IF(OR(J28="G",J28="D"),IF(J28="G","G","D"),COUNTIF($I$6:$I$45,"&gt;"&amp;I28)+1))</f>
        <v/>
      </c>
      <c r="AC28" s="35">
        <f>IF(OR(B28="",N28=0),"-",IF(OR(O28="G",O28="D"),IF(O28="G","G","D"),COUNTIF($N$6:$N$45,"&gt;"&amp;N28)+1))</f>
        <v/>
      </c>
      <c r="AD28" s="35">
        <f>IF(OR(B28="",S28=0),"-",IF(OR(T28="G",T28="D"),IF(T28="G","G","D"),COUNTIF($S$6:$S$45,"&gt;"&amp;S28)+1))</f>
        <v/>
      </c>
      <c r="AE28" s="35">
        <f>IF(OR(B28="",X28=0),"-",IF(OR(Y28="G",Y28="D"),IF(Y28="G","G","D"),COUNTIF($X$6:$X$45,"&gt;"&amp;X28)+1))</f>
        <v/>
      </c>
    </row>
    <row r="29">
      <c r="A29" s="38" t="n">
        <v>24</v>
      </c>
      <c r="B29" s="39" t="n"/>
      <c r="C29" s="39" t="n"/>
      <c r="D29" s="40" t="n"/>
      <c r="E29" s="41" t="n"/>
      <c r="F29" s="42" t="n"/>
      <c r="G29" s="42" t="n"/>
      <c r="H29" s="42" t="n"/>
      <c r="I29" s="34">
        <f>IF(OR(J29="G",J29="D"),0,IF(AND(F29="",G29=""),0,MAX(0,IFERROR(F29+0,0)+IFERROR(G29+0,0)-IFERROR(H29+0,0))))</f>
        <v/>
      </c>
      <c r="J29" s="43" t="n"/>
      <c r="K29" s="42" t="n"/>
      <c r="L29" s="42" t="n"/>
      <c r="M29" s="42" t="n"/>
      <c r="N29" s="34">
        <f>IF(OR(O29="G",O29="D"),0,IF(AND(K29="",L29=""),0,MAX(0,IFERROR(K29+0,0)+IFERROR(L29+0,0)-IFERROR(M29+0,0))))</f>
        <v/>
      </c>
      <c r="O29" s="43" t="n"/>
      <c r="P29" s="42" t="n"/>
      <c r="Q29" s="42" t="n"/>
      <c r="R29" s="42" t="n"/>
      <c r="S29" s="34">
        <f>IF(OR(T29="G",T29="D"),0,IF(AND(P29="",Q29=""),0,MAX(0,IFERROR(P29+0,0)+IFERROR(Q29+0,0)-IFERROR(R29+0,0))))</f>
        <v/>
      </c>
      <c r="T29" s="43" t="n"/>
      <c r="U29" s="42" t="n"/>
      <c r="V29" s="42" t="n"/>
      <c r="W29" s="42" t="n"/>
      <c r="X29" s="34">
        <f>IF(OR(Y29="G",Y29="D"),0,IF(AND(U29="",V29=""),0,MAX(0,IFERROR(U29+0,0)+IFERROR(V29+0,0)-IFERROR(W29+0,0))))</f>
        <v/>
      </c>
      <c r="Y29" s="43" t="n"/>
      <c r="Z29" s="36">
        <f>IF(B29="","",IF(OR(J29="G",J29="D"),0,I29)+IF(OR(O29="G",O29="D"),0,N29)+IF(OR(T29="G",T29="D"),0,S29)+IF(OR(Y29="G",Y29="D"),0,X29))</f>
        <v/>
      </c>
      <c r="AA29" s="37">
        <f>IF(OR(B29="",Z29=0),"-",RANK.EQ(Z29,$Z$6:$Z$45,0))</f>
        <v/>
      </c>
      <c r="AB29" s="43">
        <f>IF(OR(B29="",I29=0),"-",IF(OR(J29="G",J29="D"),IF(J29="G","G","D"),COUNTIF($I$6:$I$45,"&gt;"&amp;I29)+1))</f>
        <v/>
      </c>
      <c r="AC29" s="43">
        <f>IF(OR(B29="",N29=0),"-",IF(OR(O29="G",O29="D"),IF(O29="G","G","D"),COUNTIF($N$6:$N$45,"&gt;"&amp;N29)+1))</f>
        <v/>
      </c>
      <c r="AD29" s="43">
        <f>IF(OR(B29="",S29=0),"-",IF(OR(T29="G",T29="D"),IF(T29="G","G","D"),COUNTIF($S$6:$S$45,"&gt;"&amp;S29)+1))</f>
        <v/>
      </c>
      <c r="AE29" s="43">
        <f>IF(OR(B29="",X29=0),"-",IF(OR(Y29="G",Y29="D"),IF(Y29="G","G","D"),COUNTIF($X$6:$X$45,"&gt;"&amp;X29)+1))</f>
        <v/>
      </c>
    </row>
    <row r="30">
      <c r="A30" s="29" t="n">
        <v>25</v>
      </c>
      <c r="B30" s="30" t="n"/>
      <c r="C30" s="30" t="n"/>
      <c r="D30" s="31" t="n"/>
      <c r="E30" s="32" t="n"/>
      <c r="F30" s="33" t="n"/>
      <c r="G30" s="33" t="n"/>
      <c r="H30" s="33" t="n"/>
      <c r="I30" s="34">
        <f>IF(OR(J30="G",J30="D"),0,IF(AND(F30="",G30=""),0,MAX(0,IFERROR(F30+0,0)+IFERROR(G30+0,0)-IFERROR(H30+0,0))))</f>
        <v/>
      </c>
      <c r="J30" s="35" t="n"/>
      <c r="K30" s="33" t="n"/>
      <c r="L30" s="33" t="n"/>
      <c r="M30" s="33" t="n"/>
      <c r="N30" s="34">
        <f>IF(OR(O30="G",O30="D"),0,IF(AND(K30="",L30=""),0,MAX(0,IFERROR(K30+0,0)+IFERROR(L30+0,0)-IFERROR(M30+0,0))))</f>
        <v/>
      </c>
      <c r="O30" s="35" t="n"/>
      <c r="P30" s="33" t="n"/>
      <c r="Q30" s="33" t="n"/>
      <c r="R30" s="33" t="n"/>
      <c r="S30" s="34">
        <f>IF(OR(T30="G",T30="D"),0,IF(AND(P30="",Q30=""),0,MAX(0,IFERROR(P30+0,0)+IFERROR(Q30+0,0)-IFERROR(R30+0,0))))</f>
        <v/>
      </c>
      <c r="T30" s="35" t="n"/>
      <c r="U30" s="33" t="n"/>
      <c r="V30" s="33" t="n"/>
      <c r="W30" s="33" t="n"/>
      <c r="X30" s="34">
        <f>IF(OR(Y30="G",Y30="D"),0,IF(AND(U30="",V30=""),0,MAX(0,IFERROR(U30+0,0)+IFERROR(V30+0,0)-IFERROR(W30+0,0))))</f>
        <v/>
      </c>
      <c r="Y30" s="35" t="n"/>
      <c r="Z30" s="36">
        <f>IF(B30="","",IF(OR(J30="G",J30="D"),0,I30)+IF(OR(O30="G",O30="D"),0,N30)+IF(OR(T30="G",T30="D"),0,S30)+IF(OR(Y30="G",Y30="D"),0,X30))</f>
        <v/>
      </c>
      <c r="AA30" s="37">
        <f>IF(OR(B30="",Z30=0),"-",RANK.EQ(Z30,$Z$6:$Z$45,0))</f>
        <v/>
      </c>
      <c r="AB30" s="35">
        <f>IF(OR(B30="",I30=0),"-",IF(OR(J30="G",J30="D"),IF(J30="G","G","D"),COUNTIF($I$6:$I$45,"&gt;"&amp;I30)+1))</f>
        <v/>
      </c>
      <c r="AC30" s="35">
        <f>IF(OR(B30="",N30=0),"-",IF(OR(O30="G",O30="D"),IF(O30="G","G","D"),COUNTIF($N$6:$N$45,"&gt;"&amp;N30)+1))</f>
        <v/>
      </c>
      <c r="AD30" s="35">
        <f>IF(OR(B30="",S30=0),"-",IF(OR(T30="G",T30="D"),IF(T30="G","G","D"),COUNTIF($S$6:$S$45,"&gt;"&amp;S30)+1))</f>
        <v/>
      </c>
      <c r="AE30" s="35">
        <f>IF(OR(B30="",X30=0),"-",IF(OR(Y30="G",Y30="D"),IF(Y30="G","G","D"),COUNTIF($X$6:$X$45,"&gt;"&amp;X30)+1))</f>
        <v/>
      </c>
    </row>
    <row r="31">
      <c r="A31" s="38" t="n">
        <v>26</v>
      </c>
      <c r="B31" s="39" t="n"/>
      <c r="C31" s="39" t="n"/>
      <c r="D31" s="40" t="n"/>
      <c r="E31" s="41" t="n"/>
      <c r="F31" s="42" t="n"/>
      <c r="G31" s="42" t="n"/>
      <c r="H31" s="42" t="n"/>
      <c r="I31" s="34">
        <f>IF(OR(J31="G",J31="D"),0,IF(AND(F31="",G31=""),0,MAX(0,IFERROR(F31+0,0)+IFERROR(G31+0,0)-IFERROR(H31+0,0))))</f>
        <v/>
      </c>
      <c r="J31" s="43" t="n"/>
      <c r="K31" s="42" t="n"/>
      <c r="L31" s="42" t="n"/>
      <c r="M31" s="42" t="n"/>
      <c r="N31" s="34">
        <f>IF(OR(O31="G",O31="D"),0,IF(AND(K31="",L31=""),0,MAX(0,IFERROR(K31+0,0)+IFERROR(L31+0,0)-IFERROR(M31+0,0))))</f>
        <v/>
      </c>
      <c r="O31" s="43" t="n"/>
      <c r="P31" s="42" t="n"/>
      <c r="Q31" s="42" t="n"/>
      <c r="R31" s="42" t="n"/>
      <c r="S31" s="34">
        <f>IF(OR(T31="G",T31="D"),0,IF(AND(P31="",Q31=""),0,MAX(0,IFERROR(P31+0,0)+IFERROR(Q31+0,0)-IFERROR(R31+0,0))))</f>
        <v/>
      </c>
      <c r="T31" s="43" t="n"/>
      <c r="U31" s="42" t="n"/>
      <c r="V31" s="42" t="n"/>
      <c r="W31" s="42" t="n"/>
      <c r="X31" s="34">
        <f>IF(OR(Y31="G",Y31="D"),0,IF(AND(U31="",V31=""),0,MAX(0,IFERROR(U31+0,0)+IFERROR(V31+0,0)-IFERROR(W31+0,0))))</f>
        <v/>
      </c>
      <c r="Y31" s="43" t="n"/>
      <c r="Z31" s="36">
        <f>IF(B31="","",IF(OR(J31="G",J31="D"),0,I31)+IF(OR(O31="G",O31="D"),0,N31)+IF(OR(T31="G",T31="D"),0,S31)+IF(OR(Y31="G",Y31="D"),0,X31))</f>
        <v/>
      </c>
      <c r="AA31" s="37">
        <f>IF(OR(B31="",Z31=0),"-",RANK.EQ(Z31,$Z$6:$Z$45,0))</f>
        <v/>
      </c>
      <c r="AB31" s="43">
        <f>IF(OR(B31="",I31=0),"-",IF(OR(J31="G",J31="D"),IF(J31="G","G","D"),COUNTIF($I$6:$I$45,"&gt;"&amp;I31)+1))</f>
        <v/>
      </c>
      <c r="AC31" s="43">
        <f>IF(OR(B31="",N31=0),"-",IF(OR(O31="G",O31="D"),IF(O31="G","G","D"),COUNTIF($N$6:$N$45,"&gt;"&amp;N31)+1))</f>
        <v/>
      </c>
      <c r="AD31" s="43">
        <f>IF(OR(B31="",S31=0),"-",IF(OR(T31="G",T31="D"),IF(T31="G","G","D"),COUNTIF($S$6:$S$45,"&gt;"&amp;S31)+1))</f>
        <v/>
      </c>
      <c r="AE31" s="43">
        <f>IF(OR(B31="",X31=0),"-",IF(OR(Y31="G",Y31="D"),IF(Y31="G","G","D"),COUNTIF($X$6:$X$45,"&gt;"&amp;X31)+1))</f>
        <v/>
      </c>
    </row>
    <row r="32">
      <c r="A32" s="29" t="n">
        <v>27</v>
      </c>
      <c r="B32" s="30" t="n"/>
      <c r="C32" s="30" t="n"/>
      <c r="D32" s="31" t="n"/>
      <c r="E32" s="32" t="n"/>
      <c r="F32" s="33" t="n"/>
      <c r="G32" s="33" t="n"/>
      <c r="H32" s="33" t="n"/>
      <c r="I32" s="34">
        <f>IF(OR(J32="G",J32="D"),0,IF(AND(F32="",G32=""),0,MAX(0,IFERROR(F32+0,0)+IFERROR(G32+0,0)-IFERROR(H32+0,0))))</f>
        <v/>
      </c>
      <c r="J32" s="35" t="n"/>
      <c r="K32" s="33" t="n"/>
      <c r="L32" s="33" t="n"/>
      <c r="M32" s="33" t="n"/>
      <c r="N32" s="34">
        <f>IF(OR(O32="G",O32="D"),0,IF(AND(K32="",L32=""),0,MAX(0,IFERROR(K32+0,0)+IFERROR(L32+0,0)-IFERROR(M32+0,0))))</f>
        <v/>
      </c>
      <c r="O32" s="35" t="n"/>
      <c r="P32" s="33" t="n"/>
      <c r="Q32" s="33" t="n"/>
      <c r="R32" s="33" t="n"/>
      <c r="S32" s="34">
        <f>IF(OR(T32="G",T32="D"),0,IF(AND(P32="",Q32=""),0,MAX(0,IFERROR(P32+0,0)+IFERROR(Q32+0,0)-IFERROR(R32+0,0))))</f>
        <v/>
      </c>
      <c r="T32" s="35" t="n"/>
      <c r="U32" s="33" t="n"/>
      <c r="V32" s="33" t="n"/>
      <c r="W32" s="33" t="n"/>
      <c r="X32" s="34">
        <f>IF(OR(Y32="G",Y32="D"),0,IF(AND(U32="",V32=""),0,MAX(0,IFERROR(U32+0,0)+IFERROR(V32+0,0)-IFERROR(W32+0,0))))</f>
        <v/>
      </c>
      <c r="Y32" s="35" t="n"/>
      <c r="Z32" s="36">
        <f>IF(B32="","",IF(OR(J32="G",J32="D"),0,I32)+IF(OR(O32="G",O32="D"),0,N32)+IF(OR(T32="G",T32="D"),0,S32)+IF(OR(Y32="G",Y32="D"),0,X32))</f>
        <v/>
      </c>
      <c r="AA32" s="37">
        <f>IF(OR(B32="",Z32=0),"-",RANK.EQ(Z32,$Z$6:$Z$45,0))</f>
        <v/>
      </c>
      <c r="AB32" s="35">
        <f>IF(OR(B32="",I32=0),"-",IF(OR(J32="G",J32="D"),IF(J32="G","G","D"),COUNTIF($I$6:$I$45,"&gt;"&amp;I32)+1))</f>
        <v/>
      </c>
      <c r="AC32" s="35">
        <f>IF(OR(B32="",N32=0),"-",IF(OR(O32="G",O32="D"),IF(O32="G","G","D"),COUNTIF($N$6:$N$45,"&gt;"&amp;N32)+1))</f>
        <v/>
      </c>
      <c r="AD32" s="35">
        <f>IF(OR(B32="",S32=0),"-",IF(OR(T32="G",T32="D"),IF(T32="G","G","D"),COUNTIF($S$6:$S$45,"&gt;"&amp;S32)+1))</f>
        <v/>
      </c>
      <c r="AE32" s="35">
        <f>IF(OR(B32="",X32=0),"-",IF(OR(Y32="G",Y32="D"),IF(Y32="G","G","D"),COUNTIF($X$6:$X$45,"&gt;"&amp;X32)+1))</f>
        <v/>
      </c>
    </row>
    <row r="33">
      <c r="A33" s="38" t="n">
        <v>28</v>
      </c>
      <c r="B33" s="39" t="n"/>
      <c r="C33" s="39" t="n"/>
      <c r="D33" s="40" t="n"/>
      <c r="E33" s="41" t="n"/>
      <c r="F33" s="42" t="n"/>
      <c r="G33" s="42" t="n"/>
      <c r="H33" s="42" t="n"/>
      <c r="I33" s="34">
        <f>IF(OR(J33="G",J33="D"),0,IF(AND(F33="",G33=""),0,MAX(0,IFERROR(F33+0,0)+IFERROR(G33+0,0)-IFERROR(H33+0,0))))</f>
        <v/>
      </c>
      <c r="J33" s="43" t="n"/>
      <c r="K33" s="42" t="n"/>
      <c r="L33" s="42" t="n"/>
      <c r="M33" s="42" t="n"/>
      <c r="N33" s="34">
        <f>IF(OR(O33="G",O33="D"),0,IF(AND(K33="",L33=""),0,MAX(0,IFERROR(K33+0,0)+IFERROR(L33+0,0)-IFERROR(M33+0,0))))</f>
        <v/>
      </c>
      <c r="O33" s="43" t="n"/>
      <c r="P33" s="42" t="n"/>
      <c r="Q33" s="42" t="n"/>
      <c r="R33" s="42" t="n"/>
      <c r="S33" s="34">
        <f>IF(OR(T33="G",T33="D"),0,IF(AND(P33="",Q33=""),0,MAX(0,IFERROR(P33+0,0)+IFERROR(Q33+0,0)-IFERROR(R33+0,0))))</f>
        <v/>
      </c>
      <c r="T33" s="43" t="n"/>
      <c r="U33" s="42" t="n"/>
      <c r="V33" s="42" t="n"/>
      <c r="W33" s="42" t="n"/>
      <c r="X33" s="34">
        <f>IF(OR(Y33="G",Y33="D"),0,IF(AND(U33="",V33=""),0,MAX(0,IFERROR(U33+0,0)+IFERROR(V33+0,0)-IFERROR(W33+0,0))))</f>
        <v/>
      </c>
      <c r="Y33" s="43" t="n"/>
      <c r="Z33" s="36">
        <f>IF(B33="","",IF(OR(J33="G",J33="D"),0,I33)+IF(OR(O33="G",O33="D"),0,N33)+IF(OR(T33="G",T33="D"),0,S33)+IF(OR(Y33="G",Y33="D"),0,X33))</f>
        <v/>
      </c>
      <c r="AA33" s="37">
        <f>IF(OR(B33="",Z33=0),"-",RANK.EQ(Z33,$Z$6:$Z$45,0))</f>
        <v/>
      </c>
      <c r="AB33" s="43">
        <f>IF(OR(B33="",I33=0),"-",IF(OR(J33="G",J33="D"),IF(J33="G","G","D"),COUNTIF($I$6:$I$45,"&gt;"&amp;I33)+1))</f>
        <v/>
      </c>
      <c r="AC33" s="43">
        <f>IF(OR(B33="",N33=0),"-",IF(OR(O33="G",O33="D"),IF(O33="G","G","D"),COUNTIF($N$6:$N$45,"&gt;"&amp;N33)+1))</f>
        <v/>
      </c>
      <c r="AD33" s="43">
        <f>IF(OR(B33="",S33=0),"-",IF(OR(T33="G",T33="D"),IF(T33="G","G","D"),COUNTIF($S$6:$S$45,"&gt;"&amp;S33)+1))</f>
        <v/>
      </c>
      <c r="AE33" s="43">
        <f>IF(OR(B33="",X33=0),"-",IF(OR(Y33="G",Y33="D"),IF(Y33="G","G","D"),COUNTIF($X$6:$X$45,"&gt;"&amp;X33)+1))</f>
        <v/>
      </c>
    </row>
    <row r="34">
      <c r="A34" s="29" t="n">
        <v>29</v>
      </c>
      <c r="B34" s="30" t="n"/>
      <c r="C34" s="30" t="n"/>
      <c r="D34" s="31" t="n"/>
      <c r="E34" s="32" t="n"/>
      <c r="F34" s="33" t="n"/>
      <c r="G34" s="33" t="n"/>
      <c r="H34" s="33" t="n"/>
      <c r="I34" s="34">
        <f>IF(OR(J34="G",J34="D"),0,IF(AND(F34="",G34=""),0,MAX(0,IFERROR(F34+0,0)+IFERROR(G34+0,0)-IFERROR(H34+0,0))))</f>
        <v/>
      </c>
      <c r="J34" s="35" t="n"/>
      <c r="K34" s="33" t="n"/>
      <c r="L34" s="33" t="n"/>
      <c r="M34" s="33" t="n"/>
      <c r="N34" s="34">
        <f>IF(OR(O34="G",O34="D"),0,IF(AND(K34="",L34=""),0,MAX(0,IFERROR(K34+0,0)+IFERROR(L34+0,0)-IFERROR(M34+0,0))))</f>
        <v/>
      </c>
      <c r="O34" s="35" t="n"/>
      <c r="P34" s="33" t="n"/>
      <c r="Q34" s="33" t="n"/>
      <c r="R34" s="33" t="n"/>
      <c r="S34" s="34">
        <f>IF(OR(T34="G",T34="D"),0,IF(AND(P34="",Q34=""),0,MAX(0,IFERROR(P34+0,0)+IFERROR(Q34+0,0)-IFERROR(R34+0,0))))</f>
        <v/>
      </c>
      <c r="T34" s="35" t="n"/>
      <c r="U34" s="33" t="n"/>
      <c r="V34" s="33" t="n"/>
      <c r="W34" s="33" t="n"/>
      <c r="X34" s="34">
        <f>IF(OR(Y34="G",Y34="D"),0,IF(AND(U34="",V34=""),0,MAX(0,IFERROR(U34+0,0)+IFERROR(V34+0,0)-IFERROR(W34+0,0))))</f>
        <v/>
      </c>
      <c r="Y34" s="35" t="n"/>
      <c r="Z34" s="36">
        <f>IF(B34="","",IF(OR(J34="G",J34="D"),0,I34)+IF(OR(O34="G",O34="D"),0,N34)+IF(OR(T34="G",T34="D"),0,S34)+IF(OR(Y34="G",Y34="D"),0,X34))</f>
        <v/>
      </c>
      <c r="AA34" s="37">
        <f>IF(OR(B34="",Z34=0),"-",RANK.EQ(Z34,$Z$6:$Z$45,0))</f>
        <v/>
      </c>
      <c r="AB34" s="35">
        <f>IF(OR(B34="",I34=0),"-",IF(OR(J34="G",J34="D"),IF(J34="G","G","D"),COUNTIF($I$6:$I$45,"&gt;"&amp;I34)+1))</f>
        <v/>
      </c>
      <c r="AC34" s="35">
        <f>IF(OR(B34="",N34=0),"-",IF(OR(O34="G",O34="D"),IF(O34="G","G","D"),COUNTIF($N$6:$N$45,"&gt;"&amp;N34)+1))</f>
        <v/>
      </c>
      <c r="AD34" s="35">
        <f>IF(OR(B34="",S34=0),"-",IF(OR(T34="G",T34="D"),IF(T34="G","G","D"),COUNTIF($S$6:$S$45,"&gt;"&amp;S34)+1))</f>
        <v/>
      </c>
      <c r="AE34" s="35">
        <f>IF(OR(B34="",X34=0),"-",IF(OR(Y34="G",Y34="D"),IF(Y34="G","G","D"),COUNTIF($X$6:$X$45,"&gt;"&amp;X34)+1))</f>
        <v/>
      </c>
    </row>
    <row r="35">
      <c r="A35" s="38" t="n">
        <v>30</v>
      </c>
      <c r="B35" s="39" t="n"/>
      <c r="C35" s="39" t="n"/>
      <c r="D35" s="40" t="n"/>
      <c r="E35" s="41" t="n"/>
      <c r="F35" s="42" t="n"/>
      <c r="G35" s="42" t="n"/>
      <c r="H35" s="42" t="n"/>
      <c r="I35" s="34">
        <f>IF(OR(J35="G",J35="D"),0,IF(AND(F35="",G35=""),0,MAX(0,IFERROR(F35+0,0)+IFERROR(G35+0,0)-IFERROR(H35+0,0))))</f>
        <v/>
      </c>
      <c r="J35" s="43" t="n"/>
      <c r="K35" s="42" t="n"/>
      <c r="L35" s="42" t="n"/>
      <c r="M35" s="42" t="n"/>
      <c r="N35" s="34">
        <f>IF(OR(O35="G",O35="D"),0,IF(AND(K35="",L35=""),0,MAX(0,IFERROR(K35+0,0)+IFERROR(L35+0,0)-IFERROR(M35+0,0))))</f>
        <v/>
      </c>
      <c r="O35" s="43" t="n"/>
      <c r="P35" s="42" t="n"/>
      <c r="Q35" s="42" t="n"/>
      <c r="R35" s="42" t="n"/>
      <c r="S35" s="34">
        <f>IF(OR(T35="G",T35="D"),0,IF(AND(P35="",Q35=""),0,MAX(0,IFERROR(P35+0,0)+IFERROR(Q35+0,0)-IFERROR(R35+0,0))))</f>
        <v/>
      </c>
      <c r="T35" s="43" t="n"/>
      <c r="U35" s="42" t="n"/>
      <c r="V35" s="42" t="n"/>
      <c r="W35" s="42" t="n"/>
      <c r="X35" s="34">
        <f>IF(OR(Y35="G",Y35="D"),0,IF(AND(U35="",V35=""),0,MAX(0,IFERROR(U35+0,0)+IFERROR(V35+0,0)-IFERROR(W35+0,0))))</f>
        <v/>
      </c>
      <c r="Y35" s="43" t="n"/>
      <c r="Z35" s="36">
        <f>IF(B35="","",IF(OR(J35="G",J35="D"),0,I35)+IF(OR(O35="G",O35="D"),0,N35)+IF(OR(T35="G",T35="D"),0,S35)+IF(OR(Y35="G",Y35="D"),0,X35))</f>
        <v/>
      </c>
      <c r="AA35" s="37">
        <f>IF(OR(B35="",Z35=0),"-",RANK.EQ(Z35,$Z$6:$Z$45,0))</f>
        <v/>
      </c>
      <c r="AB35" s="43">
        <f>IF(OR(B35="",I35=0),"-",IF(OR(J35="G",J35="D"),IF(J35="G","G","D"),COUNTIF($I$6:$I$45,"&gt;"&amp;I35)+1))</f>
        <v/>
      </c>
      <c r="AC35" s="43">
        <f>IF(OR(B35="",N35=0),"-",IF(OR(O35="G",O35="D"),IF(O35="G","G","D"),COUNTIF($N$6:$N$45,"&gt;"&amp;N35)+1))</f>
        <v/>
      </c>
      <c r="AD35" s="43">
        <f>IF(OR(B35="",S35=0),"-",IF(OR(T35="G",T35="D"),IF(T35="G","G","D"),COUNTIF($S$6:$S$45,"&gt;"&amp;S35)+1))</f>
        <v/>
      </c>
      <c r="AE35" s="43">
        <f>IF(OR(B35="",X35=0),"-",IF(OR(Y35="G",Y35="D"),IF(Y35="G","G","D"),COUNTIF($X$6:$X$45,"&gt;"&amp;X35)+1))</f>
        <v/>
      </c>
    </row>
    <row r="36">
      <c r="A36" s="29" t="n">
        <v>31</v>
      </c>
      <c r="B36" s="30" t="n"/>
      <c r="C36" s="30" t="n"/>
      <c r="D36" s="31" t="n"/>
      <c r="E36" s="32" t="n"/>
      <c r="F36" s="33" t="n"/>
      <c r="G36" s="33" t="n"/>
      <c r="H36" s="33" t="n"/>
      <c r="I36" s="34">
        <f>IF(OR(J36="G",J36="D"),0,IF(AND(F36="",G36=""),0,MAX(0,IFERROR(F36+0,0)+IFERROR(G36+0,0)-IFERROR(H36+0,0))))</f>
        <v/>
      </c>
      <c r="J36" s="35" t="n"/>
      <c r="K36" s="33" t="n"/>
      <c r="L36" s="33" t="n"/>
      <c r="M36" s="33" t="n"/>
      <c r="N36" s="34">
        <f>IF(OR(O36="G",O36="D"),0,IF(AND(K36="",L36=""),0,MAX(0,IFERROR(K36+0,0)+IFERROR(L36+0,0)-IFERROR(M36+0,0))))</f>
        <v/>
      </c>
      <c r="O36" s="35" t="n"/>
      <c r="P36" s="33" t="n"/>
      <c r="Q36" s="33" t="n"/>
      <c r="R36" s="33" t="n"/>
      <c r="S36" s="34">
        <f>IF(OR(T36="G",T36="D"),0,IF(AND(P36="",Q36=""),0,MAX(0,IFERROR(P36+0,0)+IFERROR(Q36+0,0)-IFERROR(R36+0,0))))</f>
        <v/>
      </c>
      <c r="T36" s="35" t="n"/>
      <c r="U36" s="33" t="n"/>
      <c r="V36" s="33" t="n"/>
      <c r="W36" s="33" t="n"/>
      <c r="X36" s="34">
        <f>IF(OR(Y36="G",Y36="D"),0,IF(AND(U36="",V36=""),0,MAX(0,IFERROR(U36+0,0)+IFERROR(V36+0,0)-IFERROR(W36+0,0))))</f>
        <v/>
      </c>
      <c r="Y36" s="35" t="n"/>
      <c r="Z36" s="36">
        <f>IF(B36="","",IF(OR(J36="G",J36="D"),0,I36)+IF(OR(O36="G",O36="D"),0,N36)+IF(OR(T36="G",T36="D"),0,S36)+IF(OR(Y36="G",Y36="D"),0,X36))</f>
        <v/>
      </c>
      <c r="AA36" s="37">
        <f>IF(OR(B36="",Z36=0),"-",RANK.EQ(Z36,$Z$6:$Z$45,0))</f>
        <v/>
      </c>
      <c r="AB36" s="35">
        <f>IF(OR(B36="",I36=0),"-",IF(OR(J36="G",J36="D"),IF(J36="G","G","D"),COUNTIF($I$6:$I$45,"&gt;"&amp;I36)+1))</f>
        <v/>
      </c>
      <c r="AC36" s="35">
        <f>IF(OR(B36="",N36=0),"-",IF(OR(O36="G",O36="D"),IF(O36="G","G","D"),COUNTIF($N$6:$N$45,"&gt;"&amp;N36)+1))</f>
        <v/>
      </c>
      <c r="AD36" s="35">
        <f>IF(OR(B36="",S36=0),"-",IF(OR(T36="G",T36="D"),IF(T36="G","G","D"),COUNTIF($S$6:$S$45,"&gt;"&amp;S36)+1))</f>
        <v/>
      </c>
      <c r="AE36" s="35">
        <f>IF(OR(B36="",X36=0),"-",IF(OR(Y36="G",Y36="D"),IF(Y36="G","G","D"),COUNTIF($X$6:$X$45,"&gt;"&amp;X36)+1))</f>
        <v/>
      </c>
    </row>
    <row r="37">
      <c r="A37" s="38" t="n">
        <v>32</v>
      </c>
      <c r="B37" s="39" t="n"/>
      <c r="C37" s="39" t="n"/>
      <c r="D37" s="40" t="n"/>
      <c r="E37" s="41" t="n"/>
      <c r="F37" s="42" t="n"/>
      <c r="G37" s="42" t="n"/>
      <c r="H37" s="42" t="n"/>
      <c r="I37" s="34">
        <f>IF(OR(J37="G",J37="D"),0,IF(AND(F37="",G37=""),0,MAX(0,IFERROR(F37+0,0)+IFERROR(G37+0,0)-IFERROR(H37+0,0))))</f>
        <v/>
      </c>
      <c r="J37" s="43" t="n"/>
      <c r="K37" s="42" t="n"/>
      <c r="L37" s="42" t="n"/>
      <c r="M37" s="42" t="n"/>
      <c r="N37" s="34">
        <f>IF(OR(O37="G",O37="D"),0,IF(AND(K37="",L37=""),0,MAX(0,IFERROR(K37+0,0)+IFERROR(L37+0,0)-IFERROR(M37+0,0))))</f>
        <v/>
      </c>
      <c r="O37" s="43" t="n"/>
      <c r="P37" s="42" t="n"/>
      <c r="Q37" s="42" t="n"/>
      <c r="R37" s="42" t="n"/>
      <c r="S37" s="34">
        <f>IF(OR(T37="G",T37="D"),0,IF(AND(P37="",Q37=""),0,MAX(0,IFERROR(P37+0,0)+IFERROR(Q37+0,0)-IFERROR(R37+0,0))))</f>
        <v/>
      </c>
      <c r="T37" s="43" t="n"/>
      <c r="U37" s="42" t="n"/>
      <c r="V37" s="42" t="n"/>
      <c r="W37" s="42" t="n"/>
      <c r="X37" s="34">
        <f>IF(OR(Y37="G",Y37="D"),0,IF(AND(U37="",V37=""),0,MAX(0,IFERROR(U37+0,0)+IFERROR(V37+0,0)-IFERROR(W37+0,0))))</f>
        <v/>
      </c>
      <c r="Y37" s="43" t="n"/>
      <c r="Z37" s="36">
        <f>IF(B37="","",IF(OR(J37="G",J37="D"),0,I37)+IF(OR(O37="G",O37="D"),0,N37)+IF(OR(T37="G",T37="D"),0,S37)+IF(OR(Y37="G",Y37="D"),0,X37))</f>
        <v/>
      </c>
      <c r="AA37" s="37">
        <f>IF(OR(B37="",Z37=0),"-",RANK.EQ(Z37,$Z$6:$Z$45,0))</f>
        <v/>
      </c>
      <c r="AB37" s="43">
        <f>IF(OR(B37="",I37=0),"-",IF(OR(J37="G",J37="D"),IF(J37="G","G","D"),COUNTIF($I$6:$I$45,"&gt;"&amp;I37)+1))</f>
        <v/>
      </c>
      <c r="AC37" s="43">
        <f>IF(OR(B37="",N37=0),"-",IF(OR(O37="G",O37="D"),IF(O37="G","G","D"),COUNTIF($N$6:$N$45,"&gt;"&amp;N37)+1))</f>
        <v/>
      </c>
      <c r="AD37" s="43">
        <f>IF(OR(B37="",S37=0),"-",IF(OR(T37="G",T37="D"),IF(T37="G","G","D"),COUNTIF($S$6:$S$45,"&gt;"&amp;S37)+1))</f>
        <v/>
      </c>
      <c r="AE37" s="43">
        <f>IF(OR(B37="",X37=0),"-",IF(OR(Y37="G",Y37="D"),IF(Y37="G","G","D"),COUNTIF($X$6:$X$45,"&gt;"&amp;X37)+1))</f>
        <v/>
      </c>
    </row>
    <row r="38">
      <c r="A38" s="29" t="n">
        <v>33</v>
      </c>
      <c r="B38" s="30" t="n"/>
      <c r="C38" s="30" t="n"/>
      <c r="D38" s="31" t="n"/>
      <c r="E38" s="32" t="n"/>
      <c r="F38" s="33" t="n"/>
      <c r="G38" s="33" t="n"/>
      <c r="H38" s="33" t="n"/>
      <c r="I38" s="34">
        <f>IF(OR(J38="G",J38="D"),0,IF(AND(F38="",G38=""),0,MAX(0,IFERROR(F38+0,0)+IFERROR(G38+0,0)-IFERROR(H38+0,0))))</f>
        <v/>
      </c>
      <c r="J38" s="35" t="n"/>
      <c r="K38" s="33" t="n"/>
      <c r="L38" s="33" t="n"/>
      <c r="M38" s="33" t="n"/>
      <c r="N38" s="34">
        <f>IF(OR(O38="G",O38="D"),0,IF(AND(K38="",L38=""),0,MAX(0,IFERROR(K38+0,0)+IFERROR(L38+0,0)-IFERROR(M38+0,0))))</f>
        <v/>
      </c>
      <c r="O38" s="35" t="n"/>
      <c r="P38" s="33" t="n"/>
      <c r="Q38" s="33" t="n"/>
      <c r="R38" s="33" t="n"/>
      <c r="S38" s="34">
        <f>IF(OR(T38="G",T38="D"),0,IF(AND(P38="",Q38=""),0,MAX(0,IFERROR(P38+0,0)+IFERROR(Q38+0,0)-IFERROR(R38+0,0))))</f>
        <v/>
      </c>
      <c r="T38" s="35" t="n"/>
      <c r="U38" s="33" t="n"/>
      <c r="V38" s="33" t="n"/>
      <c r="W38" s="33" t="n"/>
      <c r="X38" s="34">
        <f>IF(OR(Y38="G",Y38="D"),0,IF(AND(U38="",V38=""),0,MAX(0,IFERROR(U38+0,0)+IFERROR(V38+0,0)-IFERROR(W38+0,0))))</f>
        <v/>
      </c>
      <c r="Y38" s="35" t="n"/>
      <c r="Z38" s="36">
        <f>IF(B38="","",IF(OR(J38="G",J38="D"),0,I38)+IF(OR(O38="G",O38="D"),0,N38)+IF(OR(T38="G",T38="D"),0,S38)+IF(OR(Y38="G",Y38="D"),0,X38))</f>
        <v/>
      </c>
      <c r="AA38" s="37">
        <f>IF(OR(B38="",Z38=0),"-",RANK.EQ(Z38,$Z$6:$Z$45,0))</f>
        <v/>
      </c>
      <c r="AB38" s="35">
        <f>IF(OR(B38="",I38=0),"-",IF(OR(J38="G",J38="D"),IF(J38="G","G","D"),COUNTIF($I$6:$I$45,"&gt;"&amp;I38)+1))</f>
        <v/>
      </c>
      <c r="AC38" s="35">
        <f>IF(OR(B38="",N38=0),"-",IF(OR(O38="G",O38="D"),IF(O38="G","G","D"),COUNTIF($N$6:$N$45,"&gt;"&amp;N38)+1))</f>
        <v/>
      </c>
      <c r="AD38" s="35">
        <f>IF(OR(B38="",S38=0),"-",IF(OR(T38="G",T38="D"),IF(T38="G","G","D"),COUNTIF($S$6:$S$45,"&gt;"&amp;S38)+1))</f>
        <v/>
      </c>
      <c r="AE38" s="35">
        <f>IF(OR(B38="",X38=0),"-",IF(OR(Y38="G",Y38="D"),IF(Y38="G","G","D"),COUNTIF($X$6:$X$45,"&gt;"&amp;X38)+1))</f>
        <v/>
      </c>
    </row>
    <row r="39">
      <c r="A39" s="38" t="n">
        <v>34</v>
      </c>
      <c r="B39" s="39" t="n"/>
      <c r="C39" s="39" t="n"/>
      <c r="D39" s="40" t="n"/>
      <c r="E39" s="41" t="n"/>
      <c r="F39" s="42" t="n"/>
      <c r="G39" s="42" t="n"/>
      <c r="H39" s="42" t="n"/>
      <c r="I39" s="34">
        <f>IF(OR(J39="G",J39="D"),0,IF(AND(F39="",G39=""),0,MAX(0,IFERROR(F39+0,0)+IFERROR(G39+0,0)-IFERROR(H39+0,0))))</f>
        <v/>
      </c>
      <c r="J39" s="43" t="n"/>
      <c r="K39" s="42" t="n"/>
      <c r="L39" s="42" t="n"/>
      <c r="M39" s="42" t="n"/>
      <c r="N39" s="34">
        <f>IF(OR(O39="G",O39="D"),0,IF(AND(K39="",L39=""),0,MAX(0,IFERROR(K39+0,0)+IFERROR(L39+0,0)-IFERROR(M39+0,0))))</f>
        <v/>
      </c>
      <c r="O39" s="43" t="n"/>
      <c r="P39" s="42" t="n"/>
      <c r="Q39" s="42" t="n"/>
      <c r="R39" s="42" t="n"/>
      <c r="S39" s="34">
        <f>IF(OR(T39="G",T39="D"),0,IF(AND(P39="",Q39=""),0,MAX(0,IFERROR(P39+0,0)+IFERROR(Q39+0,0)-IFERROR(R39+0,0))))</f>
        <v/>
      </c>
      <c r="T39" s="43" t="n"/>
      <c r="U39" s="42" t="n"/>
      <c r="V39" s="42" t="n"/>
      <c r="W39" s="42" t="n"/>
      <c r="X39" s="34">
        <f>IF(OR(Y39="G",Y39="D"),0,IF(AND(U39="",V39=""),0,MAX(0,IFERROR(U39+0,0)+IFERROR(V39+0,0)-IFERROR(W39+0,0))))</f>
        <v/>
      </c>
      <c r="Y39" s="43" t="n"/>
      <c r="Z39" s="36">
        <f>IF(B39="","",IF(OR(J39="G",J39="D"),0,I39)+IF(OR(O39="G",O39="D"),0,N39)+IF(OR(T39="G",T39="D"),0,S39)+IF(OR(Y39="G",Y39="D"),0,X39))</f>
        <v/>
      </c>
      <c r="AA39" s="37">
        <f>IF(OR(B39="",Z39=0),"-",RANK.EQ(Z39,$Z$6:$Z$45,0))</f>
        <v/>
      </c>
      <c r="AB39" s="43">
        <f>IF(OR(B39="",I39=0),"-",IF(OR(J39="G",J39="D"),IF(J39="G","G","D"),COUNTIF($I$6:$I$45,"&gt;"&amp;I39)+1))</f>
        <v/>
      </c>
      <c r="AC39" s="43">
        <f>IF(OR(B39="",N39=0),"-",IF(OR(O39="G",O39="D"),IF(O39="G","G","D"),COUNTIF($N$6:$N$45,"&gt;"&amp;N39)+1))</f>
        <v/>
      </c>
      <c r="AD39" s="43">
        <f>IF(OR(B39="",S39=0),"-",IF(OR(T39="G",T39="D"),IF(T39="G","G","D"),COUNTIF($S$6:$S$45,"&gt;"&amp;S39)+1))</f>
        <v/>
      </c>
      <c r="AE39" s="43">
        <f>IF(OR(B39="",X39=0),"-",IF(OR(Y39="G",Y39="D"),IF(Y39="G","G","D"),COUNTIF($X$6:$X$45,"&gt;"&amp;X39)+1))</f>
        <v/>
      </c>
    </row>
    <row r="40">
      <c r="A40" s="29" t="n">
        <v>35</v>
      </c>
      <c r="B40" s="30" t="n"/>
      <c r="C40" s="30" t="n"/>
      <c r="D40" s="31" t="n"/>
      <c r="E40" s="32" t="n"/>
      <c r="F40" s="33" t="n"/>
      <c r="G40" s="33" t="n"/>
      <c r="H40" s="33" t="n"/>
      <c r="I40" s="34">
        <f>IF(OR(J40="G",J40="D"),0,IF(AND(F40="",G40=""),0,MAX(0,IFERROR(F40+0,0)+IFERROR(G40+0,0)-IFERROR(H40+0,0))))</f>
        <v/>
      </c>
      <c r="J40" s="35" t="n"/>
      <c r="K40" s="33" t="n"/>
      <c r="L40" s="33" t="n"/>
      <c r="M40" s="33" t="n"/>
      <c r="N40" s="34">
        <f>IF(OR(O40="G",O40="D"),0,IF(AND(K40="",L40=""),0,MAX(0,IFERROR(K40+0,0)+IFERROR(L40+0,0)-IFERROR(M40+0,0))))</f>
        <v/>
      </c>
      <c r="O40" s="35" t="n"/>
      <c r="P40" s="33" t="n"/>
      <c r="Q40" s="33" t="n"/>
      <c r="R40" s="33" t="n"/>
      <c r="S40" s="34">
        <f>IF(OR(T40="G",T40="D"),0,IF(AND(P40="",Q40=""),0,MAX(0,IFERROR(P40+0,0)+IFERROR(Q40+0,0)-IFERROR(R40+0,0))))</f>
        <v/>
      </c>
      <c r="T40" s="35" t="n"/>
      <c r="U40" s="33" t="n"/>
      <c r="V40" s="33" t="n"/>
      <c r="W40" s="33" t="n"/>
      <c r="X40" s="34">
        <f>IF(OR(Y40="G",Y40="D"),0,IF(AND(U40="",V40=""),0,MAX(0,IFERROR(U40+0,0)+IFERROR(V40+0,0)-IFERROR(W40+0,0))))</f>
        <v/>
      </c>
      <c r="Y40" s="35" t="n"/>
      <c r="Z40" s="36">
        <f>IF(B40="","",IF(OR(J40="G",J40="D"),0,I40)+IF(OR(O40="G",O40="D"),0,N40)+IF(OR(T40="G",T40="D"),0,S40)+IF(OR(Y40="G",Y40="D"),0,X40))</f>
        <v/>
      </c>
      <c r="AA40" s="37">
        <f>IF(OR(B40="",Z40=0),"-",RANK.EQ(Z40,$Z$6:$Z$45,0))</f>
        <v/>
      </c>
      <c r="AB40" s="35">
        <f>IF(OR(B40="",I40=0),"-",IF(OR(J40="G",J40="D"),IF(J40="G","G","D"),COUNTIF($I$6:$I$45,"&gt;"&amp;I40)+1))</f>
        <v/>
      </c>
      <c r="AC40" s="35">
        <f>IF(OR(B40="",N40=0),"-",IF(OR(O40="G",O40="D"),IF(O40="G","G","D"),COUNTIF($N$6:$N$45,"&gt;"&amp;N40)+1))</f>
        <v/>
      </c>
      <c r="AD40" s="35">
        <f>IF(OR(B40="",S40=0),"-",IF(OR(T40="G",T40="D"),IF(T40="G","G","D"),COUNTIF($S$6:$S$45,"&gt;"&amp;S40)+1))</f>
        <v/>
      </c>
      <c r="AE40" s="35">
        <f>IF(OR(B40="",X40=0),"-",IF(OR(Y40="G",Y40="D"),IF(Y40="G","G","D"),COUNTIF($X$6:$X$45,"&gt;"&amp;X40)+1))</f>
        <v/>
      </c>
    </row>
    <row r="41">
      <c r="A41" s="38" t="n">
        <v>36</v>
      </c>
      <c r="B41" s="39" t="n"/>
      <c r="C41" s="39" t="n"/>
      <c r="D41" s="40" t="n"/>
      <c r="E41" s="41" t="n"/>
      <c r="F41" s="42" t="n"/>
      <c r="G41" s="42" t="n"/>
      <c r="H41" s="42" t="n"/>
      <c r="I41" s="34">
        <f>IF(OR(J41="G",J41="D"),0,IF(AND(F41="",G41=""),0,MAX(0,IFERROR(F41+0,0)+IFERROR(G41+0,0)-IFERROR(H41+0,0))))</f>
        <v/>
      </c>
      <c r="J41" s="43" t="n"/>
      <c r="K41" s="42" t="n"/>
      <c r="L41" s="42" t="n"/>
      <c r="M41" s="42" t="n"/>
      <c r="N41" s="34">
        <f>IF(OR(O41="G",O41="D"),0,IF(AND(K41="",L41=""),0,MAX(0,IFERROR(K41+0,0)+IFERROR(L41+0,0)-IFERROR(M41+0,0))))</f>
        <v/>
      </c>
      <c r="O41" s="43" t="n"/>
      <c r="P41" s="42" t="n"/>
      <c r="Q41" s="42" t="n"/>
      <c r="R41" s="42" t="n"/>
      <c r="S41" s="34">
        <f>IF(OR(T41="G",T41="D"),0,IF(AND(P41="",Q41=""),0,MAX(0,IFERROR(P41+0,0)+IFERROR(Q41+0,0)-IFERROR(R41+0,0))))</f>
        <v/>
      </c>
      <c r="T41" s="43" t="n"/>
      <c r="U41" s="42" t="n"/>
      <c r="V41" s="42" t="n"/>
      <c r="W41" s="42" t="n"/>
      <c r="X41" s="34">
        <f>IF(OR(Y41="G",Y41="D"),0,IF(AND(U41="",V41=""),0,MAX(0,IFERROR(U41+0,0)+IFERROR(V41+0,0)-IFERROR(W41+0,0))))</f>
        <v/>
      </c>
      <c r="Y41" s="43" t="n"/>
      <c r="Z41" s="36">
        <f>IF(B41="","",IF(OR(J41="G",J41="D"),0,I41)+IF(OR(O41="G",O41="D"),0,N41)+IF(OR(T41="G",T41="D"),0,S41)+IF(OR(Y41="G",Y41="D"),0,X41))</f>
        <v/>
      </c>
      <c r="AA41" s="37">
        <f>IF(OR(B41="",Z41=0),"-",RANK.EQ(Z41,$Z$6:$Z$45,0))</f>
        <v/>
      </c>
      <c r="AB41" s="43">
        <f>IF(OR(B41="",I41=0),"-",IF(OR(J41="G",J41="D"),IF(J41="G","G","D"),COUNTIF($I$6:$I$45,"&gt;"&amp;I41)+1))</f>
        <v/>
      </c>
      <c r="AC41" s="43">
        <f>IF(OR(B41="",N41=0),"-",IF(OR(O41="G",O41="D"),IF(O41="G","G","D"),COUNTIF($N$6:$N$45,"&gt;"&amp;N41)+1))</f>
        <v/>
      </c>
      <c r="AD41" s="43">
        <f>IF(OR(B41="",S41=0),"-",IF(OR(T41="G",T41="D"),IF(T41="G","G","D"),COUNTIF($S$6:$S$45,"&gt;"&amp;S41)+1))</f>
        <v/>
      </c>
      <c r="AE41" s="43">
        <f>IF(OR(B41="",X41=0),"-",IF(OR(Y41="G",Y41="D"),IF(Y41="G","G","D"),COUNTIF($X$6:$X$45,"&gt;"&amp;X41)+1))</f>
        <v/>
      </c>
    </row>
    <row r="42">
      <c r="A42" s="29" t="n">
        <v>37</v>
      </c>
      <c r="B42" s="30" t="n"/>
      <c r="C42" s="30" t="n"/>
      <c r="D42" s="31" t="n"/>
      <c r="E42" s="32" t="n"/>
      <c r="F42" s="33" t="n"/>
      <c r="G42" s="33" t="n"/>
      <c r="H42" s="33" t="n"/>
      <c r="I42" s="34">
        <f>IF(OR(J42="G",J42="D"),0,IF(AND(F42="",G42=""),0,MAX(0,IFERROR(F42+0,0)+IFERROR(G42+0,0)-IFERROR(H42+0,0))))</f>
        <v/>
      </c>
      <c r="J42" s="35" t="n"/>
      <c r="K42" s="33" t="n"/>
      <c r="L42" s="33" t="n"/>
      <c r="M42" s="33" t="n"/>
      <c r="N42" s="34">
        <f>IF(OR(O42="G",O42="D"),0,IF(AND(K42="",L42=""),0,MAX(0,IFERROR(K42+0,0)+IFERROR(L42+0,0)-IFERROR(M42+0,0))))</f>
        <v/>
      </c>
      <c r="O42" s="35" t="n"/>
      <c r="P42" s="33" t="n"/>
      <c r="Q42" s="33" t="n"/>
      <c r="R42" s="33" t="n"/>
      <c r="S42" s="34">
        <f>IF(OR(T42="G",T42="D"),0,IF(AND(P42="",Q42=""),0,MAX(0,IFERROR(P42+0,0)+IFERROR(Q42+0,0)-IFERROR(R42+0,0))))</f>
        <v/>
      </c>
      <c r="T42" s="35" t="n"/>
      <c r="U42" s="33" t="n"/>
      <c r="V42" s="33" t="n"/>
      <c r="W42" s="33" t="n"/>
      <c r="X42" s="34">
        <f>IF(OR(Y42="G",Y42="D"),0,IF(AND(U42="",V42=""),0,MAX(0,IFERROR(U42+0,0)+IFERROR(V42+0,0)-IFERROR(W42+0,0))))</f>
        <v/>
      </c>
      <c r="Y42" s="35" t="n"/>
      <c r="Z42" s="36">
        <f>IF(B42="","",IF(OR(J42="G",J42="D"),0,I42)+IF(OR(O42="G",O42="D"),0,N42)+IF(OR(T42="G",T42="D"),0,S42)+IF(OR(Y42="G",Y42="D"),0,X42))</f>
        <v/>
      </c>
      <c r="AA42" s="37">
        <f>IF(OR(B42="",Z42=0),"-",RANK.EQ(Z42,$Z$6:$Z$45,0))</f>
        <v/>
      </c>
      <c r="AB42" s="35">
        <f>IF(OR(B42="",I42=0),"-",IF(OR(J42="G",J42="D"),IF(J42="G","G","D"),COUNTIF($I$6:$I$45,"&gt;"&amp;I42)+1))</f>
        <v/>
      </c>
      <c r="AC42" s="35">
        <f>IF(OR(B42="",N42=0),"-",IF(OR(O42="G",O42="D"),IF(O42="G","G","D"),COUNTIF($N$6:$N$45,"&gt;"&amp;N42)+1))</f>
        <v/>
      </c>
      <c r="AD42" s="35">
        <f>IF(OR(B42="",S42=0),"-",IF(OR(T42="G",T42="D"),IF(T42="G","G","D"),COUNTIF($S$6:$S$45,"&gt;"&amp;S42)+1))</f>
        <v/>
      </c>
      <c r="AE42" s="35">
        <f>IF(OR(B42="",X42=0),"-",IF(OR(Y42="G",Y42="D"),IF(Y42="G","G","D"),COUNTIF($X$6:$X$45,"&gt;"&amp;X42)+1))</f>
        <v/>
      </c>
    </row>
    <row r="43">
      <c r="A43" s="38" t="n">
        <v>38</v>
      </c>
      <c r="B43" s="39" t="n"/>
      <c r="C43" s="39" t="n"/>
      <c r="D43" s="40" t="n"/>
      <c r="E43" s="41" t="n"/>
      <c r="F43" s="42" t="n"/>
      <c r="G43" s="42" t="n"/>
      <c r="H43" s="42" t="n"/>
      <c r="I43" s="34">
        <f>IF(OR(J43="G",J43="D"),0,IF(AND(F43="",G43=""),0,MAX(0,IFERROR(F43+0,0)+IFERROR(G43+0,0)-IFERROR(H43+0,0))))</f>
        <v/>
      </c>
      <c r="J43" s="43" t="n"/>
      <c r="K43" s="42" t="n"/>
      <c r="L43" s="42" t="n"/>
      <c r="M43" s="42" t="n"/>
      <c r="N43" s="34">
        <f>IF(OR(O43="G",O43="D"),0,IF(AND(K43="",L43=""),0,MAX(0,IFERROR(K43+0,0)+IFERROR(L43+0,0)-IFERROR(M43+0,0))))</f>
        <v/>
      </c>
      <c r="O43" s="43" t="n"/>
      <c r="P43" s="42" t="n"/>
      <c r="Q43" s="42" t="n"/>
      <c r="R43" s="42" t="n"/>
      <c r="S43" s="34">
        <f>IF(OR(T43="G",T43="D"),0,IF(AND(P43="",Q43=""),0,MAX(0,IFERROR(P43+0,0)+IFERROR(Q43+0,0)-IFERROR(R43+0,0))))</f>
        <v/>
      </c>
      <c r="T43" s="43" t="n"/>
      <c r="U43" s="42" t="n"/>
      <c r="V43" s="42" t="n"/>
      <c r="W43" s="42" t="n"/>
      <c r="X43" s="34">
        <f>IF(OR(Y43="G",Y43="D"),0,IF(AND(U43="",V43=""),0,MAX(0,IFERROR(U43+0,0)+IFERROR(V43+0,0)-IFERROR(W43+0,0))))</f>
        <v/>
      </c>
      <c r="Y43" s="43" t="n"/>
      <c r="Z43" s="36">
        <f>IF(B43="","",IF(OR(J43="G",J43="D"),0,I43)+IF(OR(O43="G",O43="D"),0,N43)+IF(OR(T43="G",T43="D"),0,S43)+IF(OR(Y43="G",Y43="D"),0,X43))</f>
        <v/>
      </c>
      <c r="AA43" s="37">
        <f>IF(OR(B43="",Z43=0),"-",RANK.EQ(Z43,$Z$6:$Z$45,0))</f>
        <v/>
      </c>
      <c r="AB43" s="43">
        <f>IF(OR(B43="",I43=0),"-",IF(OR(J43="G",J43="D"),IF(J43="G","G","D"),COUNTIF($I$6:$I$45,"&gt;"&amp;I43)+1))</f>
        <v/>
      </c>
      <c r="AC43" s="43">
        <f>IF(OR(B43="",N43=0),"-",IF(OR(O43="G",O43="D"),IF(O43="G","G","D"),COUNTIF($N$6:$N$45,"&gt;"&amp;N43)+1))</f>
        <v/>
      </c>
      <c r="AD43" s="43">
        <f>IF(OR(B43="",S43=0),"-",IF(OR(T43="G",T43="D"),IF(T43="G","G","D"),COUNTIF($S$6:$S$45,"&gt;"&amp;S43)+1))</f>
        <v/>
      </c>
      <c r="AE43" s="43">
        <f>IF(OR(B43="",X43=0),"-",IF(OR(Y43="G",Y43="D"),IF(Y43="G","G","D"),COUNTIF($X$6:$X$45,"&gt;"&amp;X43)+1))</f>
        <v/>
      </c>
    </row>
    <row r="44">
      <c r="A44" s="29" t="n">
        <v>39</v>
      </c>
      <c r="B44" s="30" t="n"/>
      <c r="C44" s="30" t="n"/>
      <c r="D44" s="31" t="n"/>
      <c r="E44" s="32" t="n"/>
      <c r="F44" s="33" t="n"/>
      <c r="G44" s="33" t="n"/>
      <c r="H44" s="33" t="n"/>
      <c r="I44" s="34">
        <f>IF(OR(J44="G",J44="D"),0,IF(AND(F44="",G44=""),0,MAX(0,IFERROR(F44+0,0)+IFERROR(G44+0,0)-IFERROR(H44+0,0))))</f>
        <v/>
      </c>
      <c r="J44" s="35" t="n"/>
      <c r="K44" s="33" t="n"/>
      <c r="L44" s="33" t="n"/>
      <c r="M44" s="33" t="n"/>
      <c r="N44" s="34">
        <f>IF(OR(O44="G",O44="D"),0,IF(AND(K44="",L44=""),0,MAX(0,IFERROR(K44+0,0)+IFERROR(L44+0,0)-IFERROR(M44+0,0))))</f>
        <v/>
      </c>
      <c r="O44" s="35" t="n"/>
      <c r="P44" s="33" t="n"/>
      <c r="Q44" s="33" t="n"/>
      <c r="R44" s="33" t="n"/>
      <c r="S44" s="34">
        <f>IF(OR(T44="G",T44="D"),0,IF(AND(P44="",Q44=""),0,MAX(0,IFERROR(P44+0,0)+IFERROR(Q44+0,0)-IFERROR(R44+0,0))))</f>
        <v/>
      </c>
      <c r="T44" s="35" t="n"/>
      <c r="U44" s="33" t="n"/>
      <c r="V44" s="33" t="n"/>
      <c r="W44" s="33" t="n"/>
      <c r="X44" s="34">
        <f>IF(OR(Y44="G",Y44="D"),0,IF(AND(U44="",V44=""),0,MAX(0,IFERROR(U44+0,0)+IFERROR(V44+0,0)-IFERROR(W44+0,0))))</f>
        <v/>
      </c>
      <c r="Y44" s="35" t="n"/>
      <c r="Z44" s="36">
        <f>IF(B44="","",IF(OR(J44="G",J44="D"),0,I44)+IF(OR(O44="G",O44="D"),0,N44)+IF(OR(T44="G",T44="D"),0,S44)+IF(OR(Y44="G",Y44="D"),0,X44))</f>
        <v/>
      </c>
      <c r="AA44" s="37">
        <f>IF(OR(B44="",Z44=0),"-",RANK.EQ(Z44,$Z$6:$Z$45,0))</f>
        <v/>
      </c>
      <c r="AB44" s="35">
        <f>IF(OR(B44="",I44=0),"-",IF(OR(J44="G",J44="D"),IF(J44="G","G","D"),COUNTIF($I$6:$I$45,"&gt;"&amp;I44)+1))</f>
        <v/>
      </c>
      <c r="AC44" s="35">
        <f>IF(OR(B44="",N44=0),"-",IF(OR(O44="G",O44="D"),IF(O44="G","G","D"),COUNTIF($N$6:$N$45,"&gt;"&amp;N44)+1))</f>
        <v/>
      </c>
      <c r="AD44" s="35">
        <f>IF(OR(B44="",S44=0),"-",IF(OR(T44="G",T44="D"),IF(T44="G","G","D"),COUNTIF($S$6:$S$45,"&gt;"&amp;S44)+1))</f>
        <v/>
      </c>
      <c r="AE44" s="35">
        <f>IF(OR(B44="",X44=0),"-",IF(OR(Y44="G",Y44="D"),IF(Y44="G","G","D"),COUNTIF($X$6:$X$45,"&gt;"&amp;X44)+1))</f>
        <v/>
      </c>
    </row>
    <row r="45">
      <c r="A45" s="38" t="n">
        <v>40</v>
      </c>
      <c r="B45" s="39" t="n"/>
      <c r="C45" s="39" t="n"/>
      <c r="D45" s="40" t="n"/>
      <c r="E45" s="41" t="n"/>
      <c r="F45" s="42" t="n"/>
      <c r="G45" s="42" t="n"/>
      <c r="H45" s="42" t="n"/>
      <c r="I45" s="34">
        <f>IF(OR(J45="G",J45="D"),0,IF(AND(F45="",G45=""),0,MAX(0,IFERROR(F45+0,0)+IFERROR(G45+0,0)-IFERROR(H45+0,0))))</f>
        <v/>
      </c>
      <c r="J45" s="43" t="n"/>
      <c r="K45" s="42" t="n"/>
      <c r="L45" s="42" t="n"/>
      <c r="M45" s="42" t="n"/>
      <c r="N45" s="34">
        <f>IF(OR(O45="G",O45="D"),0,IF(AND(K45="",L45=""),0,MAX(0,IFERROR(K45+0,0)+IFERROR(L45+0,0)-IFERROR(M45+0,0))))</f>
        <v/>
      </c>
      <c r="O45" s="43" t="n"/>
      <c r="P45" s="42" t="n"/>
      <c r="Q45" s="42" t="n"/>
      <c r="R45" s="42" t="n"/>
      <c r="S45" s="34">
        <f>IF(OR(T45="G",T45="D"),0,IF(AND(P45="",Q45=""),0,MAX(0,IFERROR(P45+0,0)+IFERROR(Q45+0,0)-IFERROR(R45+0,0))))</f>
        <v/>
      </c>
      <c r="T45" s="43" t="n"/>
      <c r="U45" s="42" t="n"/>
      <c r="V45" s="42" t="n"/>
      <c r="W45" s="42" t="n"/>
      <c r="X45" s="34">
        <f>IF(OR(Y45="G",Y45="D"),0,IF(AND(U45="",V45=""),0,MAX(0,IFERROR(U45+0,0)+IFERROR(V45+0,0)-IFERROR(W45+0,0))))</f>
        <v/>
      </c>
      <c r="Y45" s="43" t="n"/>
      <c r="Z45" s="36">
        <f>IF(B45="","",IF(OR(J45="G",J45="D"),0,I45)+IF(OR(O45="G",O45="D"),0,N45)+IF(OR(T45="G",T45="D"),0,S45)+IF(OR(Y45="G",Y45="D"),0,X45))</f>
        <v/>
      </c>
      <c r="AA45" s="37">
        <f>IF(OR(B45="",Z45=0),"-",RANK.EQ(Z45,$Z$6:$Z$45,0))</f>
        <v/>
      </c>
      <c r="AB45" s="43">
        <f>IF(OR(B45="",I45=0),"-",IF(OR(J45="G",J45="D"),IF(J45="G","G","D"),COUNTIF($I$6:$I$45,"&gt;"&amp;I45)+1))</f>
        <v/>
      </c>
      <c r="AC45" s="43">
        <f>IF(OR(B45="",N45=0),"-",IF(OR(O45="G",O45="D"),IF(O45="G","G","D"),COUNTIF($N$6:$N$45,"&gt;"&amp;N45)+1))</f>
        <v/>
      </c>
      <c r="AD45" s="43">
        <f>IF(OR(B45="",S45=0),"-",IF(OR(T45="G",T45="D"),IF(T45="G","G","D"),COUNTIF($S$6:$S$45,"&gt;"&amp;S45)+1))</f>
        <v/>
      </c>
      <c r="AE45" s="43">
        <f>IF(OR(B45="",X45=0),"-",IF(OR(Y45="G",Y45="D"),IF(Y45="G","G","D"),COUNTIF($X$6:$X$45,"&gt;"&amp;X45)+1))</f>
        <v/>
      </c>
    </row>
    <row r="47">
      <c r="A47" s="44">
        <f>COUNTA(B6:B45)&amp;" sporcu kayıtlı"</f>
        <v/>
      </c>
    </row>
  </sheetData>
  <mergeCells count="9">
    <mergeCell ref="K3:O3"/>
    <mergeCell ref="F3:J3"/>
    <mergeCell ref="A2:AE2"/>
    <mergeCell ref="P3:T3"/>
    <mergeCell ref="AB3:AE3"/>
    <mergeCell ref="U3:Y3"/>
    <mergeCell ref="A1:AE1"/>
    <mergeCell ref="A5:AE5"/>
    <mergeCell ref="A47:E47"/>
  </mergeCells>
  <conditionalFormatting sqref="AA6:AA45">
    <cfRule type="cellIs" priority="1" operator="equal" dxfId="0">
      <formula>1</formula>
    </cfRule>
    <cfRule type="cellIs" priority="2" operator="equal" dxfId="1">
      <formula>2</formula>
    </cfRule>
    <cfRule type="cellIs" priority="3" operator="equal" dxfId="2">
      <formula>3</formula>
    </cfRule>
  </conditionalFormatting>
  <conditionalFormatting sqref="J6:J45">
    <cfRule type="cellIs" priority="4" operator="equal" dxfId="3">
      <formula>"G"</formula>
    </cfRule>
    <cfRule type="cellIs" priority="5" operator="equal" dxfId="4">
      <formula>"D"</formula>
    </cfRule>
  </conditionalFormatting>
  <conditionalFormatting sqref="O6:O45">
    <cfRule type="cellIs" priority="6" operator="equal" dxfId="3">
      <formula>"G"</formula>
    </cfRule>
    <cfRule type="cellIs" priority="7" operator="equal" dxfId="4">
      <formula>"D"</formula>
    </cfRule>
  </conditionalFormatting>
  <conditionalFormatting sqref="T6:T45">
    <cfRule type="cellIs" priority="8" operator="equal" dxfId="3">
      <formula>"G"</formula>
    </cfRule>
    <cfRule type="cellIs" priority="9" operator="equal" dxfId="4">
      <formula>"D"</formula>
    </cfRule>
  </conditionalFormatting>
  <conditionalFormatting sqref="Y6:Y45">
    <cfRule type="cellIs" priority="10" operator="equal" dxfId="3">
      <formula>"G"</formula>
    </cfRule>
    <cfRule type="cellIs" priority="11" operator="equal" dxfId="4">
      <formula>"D"</formula>
    </cfRule>
  </conditionalFormatting>
  <dataValidations count="2">
    <dataValidation sqref="E6 E7 E8 E9 E10 E11 E12 E13 E14 E15 E16 E17 E18 E19 E20 E21 E22 E23 E24 E25 E26 E27 E28 E29 E30 E31 E32 E33 E34 E35 E36 E37 E38 E39 E40 E41 E42 E43 E44 E45" showDropDown="0" showInputMessage="0" showErrorMessage="0" allowBlank="1" type="list">
      <formula1>"Bireysel,Takım"</formula1>
    </dataValidation>
    <dataValidation sqref="J6 J7 J8 J9 J10 J11 J12 J13 J14 J15 J16 J17 J18 J19 J20 J21 J22 J23 J24 J25 J26 J27 J28 J29 J30 J31 J32 J33 J34 J35 J36 J37 J38 J39 J40 J41 J42 J43 J44 J45 O6 O7 O8 O9 O10 O11 O12 O13 O14 O15 O16 O17 O18 O19 O20 O21 O22 O23 O24 O25 O26 O27 O28 O29 O30 O31 O32 O33 O34 O35 O36 O37 O38 O39 O40 O41 O42 O43 O44 O45 T6 T7 T8 T9 T10 T11 T12 T13 T14 T15 T16 T17 T18 T19 T20 T21 T22 T23 T24 T25 T26 T27 T28 T29 T30 T31 T32 T33 T34 T35 T36 T37 T38 T39 T40 T41 T42 T43 T44 T45 Y6 Y7 Y8 Y9 Y10 Y11 Y12 Y13 Y14 Y15 Y16 Y17 Y18 Y19 Y20 Y21 Y22 Y23 Y24 Y25 Y26 Y27 Y28 Y29 Y30 Y31 Y32 Y33 Y34 Y35 Y36 Y37 Y38 Y39 Y40 Y41 Y42 Y43 Y44 Y45" showDropDown="0" showInputMessage="0" showErrorMessage="0" allowBlank="1" type="list">
      <formula1>"N,G,D"</formula1>
    </dataValidation>
  </dataValidations>
  <pageMargins left="0.4" right="0.4" top="0.5" bottom="0.5" header="0.5" footer="0.5"/>
  <pageSetup orientation="landscape" fitToWidth="1"/>
</worksheet>
</file>

<file path=xl/worksheets/sheet9.xml><?xml version="1.0" encoding="utf-8"?>
<worksheet xmlns="http://schemas.openxmlformats.org/spreadsheetml/2006/main">
  <sheetPr>
    <outlinePr summaryBelow="1" summaryRight="1"/>
    <pageSetUpPr fitToPage="1"/>
  </sheetPr>
  <dimension ref="A1:AE4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4" customWidth="1" min="3" max="3"/>
    <col width="26" customWidth="1" min="4" max="4"/>
    <col width="10" customWidth="1" min="5" max="5"/>
    <col width="6.5" customWidth="1" min="6" max="6"/>
    <col width="6.5" customWidth="1" min="7" max="7"/>
    <col width="6.5" customWidth="1" min="8" max="8"/>
    <col width="9" customWidth="1" min="9" max="9"/>
    <col width="6" customWidth="1" min="10" max="10"/>
    <col width="6.5" customWidth="1" min="11" max="11"/>
    <col width="6.5" customWidth="1" min="12" max="12"/>
    <col width="6.5" customWidth="1" min="13" max="13"/>
    <col width="9" customWidth="1" min="14" max="14"/>
    <col width="6" customWidth="1" min="15" max="15"/>
    <col width="6.5" customWidth="1" min="16" max="16"/>
    <col width="6.5" customWidth="1" min="17" max="17"/>
    <col width="6.5" customWidth="1" min="18" max="18"/>
    <col width="9" customWidth="1" min="19" max="19"/>
    <col width="6" customWidth="1" min="20" max="20"/>
    <col width="6.5" customWidth="1" min="21" max="21"/>
    <col width="6.5" customWidth="1" min="22" max="22"/>
    <col width="6.5" customWidth="1" min="23" max="23"/>
    <col width="9" customWidth="1" min="24" max="24"/>
    <col width="6" customWidth="1" min="25" max="25"/>
    <col width="11" customWidth="1" min="26" max="26"/>
    <col width="9" customWidth="1" min="27" max="27"/>
    <col width="7" customWidth="1" min="28" max="28"/>
    <col width="7" customWidth="1" min="29" max="29"/>
    <col width="7" customWidth="1" min="30" max="30"/>
    <col width="7" customWidth="1" min="31" max="31"/>
  </cols>
  <sheetData>
    <row r="1" ht="32" customHeight="1">
      <c r="A1" s="22" t="inlineStr">
        <is>
          <t>YILDIZ KIZLAR</t>
        </is>
      </c>
    </row>
    <row r="2" ht="15" customHeight="1">
      <c r="A2" s="23">
        <f>'YARIŞMA BİLGİLERİ'!C3&amp;"  —  "&amp;'YARIŞMA BİLGİLERİ'!C4&amp;"  |  "&amp;'YARIŞMA BİLGİLERİ'!C5</f>
        <v/>
      </c>
    </row>
    <row r="3" ht="22" customHeight="1">
      <c r="A3" s="24" t="n"/>
      <c r="B3" s="24" t="n"/>
      <c r="C3" s="24" t="n"/>
      <c r="D3" s="24" t="n"/>
      <c r="E3" s="24" t="n"/>
      <c r="F3" s="25" t="inlineStr">
        <is>
          <t>ATLAMA (VT)</t>
        </is>
      </c>
      <c r="G3" s="24" t="n"/>
      <c r="H3" s="24" t="n"/>
      <c r="I3" s="24" t="n"/>
      <c r="J3" s="24" t="n"/>
      <c r="K3" s="25" t="inlineStr">
        <is>
          <t>AS.PARALEL (UB)</t>
        </is>
      </c>
      <c r="L3" s="24" t="n"/>
      <c r="M3" s="24" t="n"/>
      <c r="N3" s="24" t="n"/>
      <c r="O3" s="24" t="n"/>
      <c r="P3" s="25" t="inlineStr">
        <is>
          <t>DENGE (BB)</t>
        </is>
      </c>
      <c r="Q3" s="24" t="n"/>
      <c r="R3" s="24" t="n"/>
      <c r="S3" s="24" t="n"/>
      <c r="T3" s="24" t="n"/>
      <c r="U3" s="25" t="inlineStr">
        <is>
          <t>SERBEST (FX)</t>
        </is>
      </c>
      <c r="V3" s="24" t="n"/>
      <c r="W3" s="24" t="n"/>
      <c r="X3" s="24" t="n"/>
      <c r="Y3" s="24" t="n"/>
      <c r="Z3" s="24" t="n"/>
      <c r="AA3" s="24" t="n"/>
      <c r="AB3" s="26" t="inlineStr">
        <is>
          <t>ALET SIRALARI  (Eleme Seçimi için)</t>
        </is>
      </c>
      <c r="AC3" s="24" t="n"/>
      <c r="AD3" s="24" t="n"/>
      <c r="AE3" s="24" t="n"/>
    </row>
    <row r="4" ht="30" customHeight="1">
      <c r="A4" s="27" t="inlineStr">
        <is>
          <t>No</t>
        </is>
      </c>
      <c r="B4" s="27" t="inlineStr">
        <is>
          <t>Ad</t>
        </is>
      </c>
      <c r="C4" s="27" t="inlineStr">
        <is>
          <t>Soyad</t>
        </is>
      </c>
      <c r="D4" s="27" t="inlineStr">
        <is>
          <t>Okul / Kulüp</t>
        </is>
      </c>
      <c r="E4" s="27" t="inlineStr">
        <is>
          <t>Tür</t>
        </is>
      </c>
      <c r="F4" s="27" t="inlineStr">
        <is>
          <t>D</t>
        </is>
      </c>
      <c r="G4" s="27" t="inlineStr">
        <is>
          <t>E</t>
        </is>
      </c>
      <c r="H4" s="27" t="inlineStr">
        <is>
          <t>ND</t>
        </is>
      </c>
      <c r="I4" s="27" t="inlineStr">
        <is>
          <t>Final</t>
        </is>
      </c>
      <c r="J4" s="27" t="inlineStr">
        <is>
          <t>Dur</t>
        </is>
      </c>
      <c r="K4" s="27" t="inlineStr">
        <is>
          <t>D</t>
        </is>
      </c>
      <c r="L4" s="27" t="inlineStr">
        <is>
          <t>E</t>
        </is>
      </c>
      <c r="M4" s="27" t="inlineStr">
        <is>
          <t>ND</t>
        </is>
      </c>
      <c r="N4" s="27" t="inlineStr">
        <is>
          <t>Final</t>
        </is>
      </c>
      <c r="O4" s="27" t="inlineStr">
        <is>
          <t>Dur</t>
        </is>
      </c>
      <c r="P4" s="27" t="inlineStr">
        <is>
          <t>D</t>
        </is>
      </c>
      <c r="Q4" s="27" t="inlineStr">
        <is>
          <t>E</t>
        </is>
      </c>
      <c r="R4" s="27" t="inlineStr">
        <is>
          <t>ND</t>
        </is>
      </c>
      <c r="S4" s="27" t="inlineStr">
        <is>
          <t>Final</t>
        </is>
      </c>
      <c r="T4" s="27" t="inlineStr">
        <is>
          <t>Dur</t>
        </is>
      </c>
      <c r="U4" s="27" t="inlineStr">
        <is>
          <t>D</t>
        </is>
      </c>
      <c r="V4" s="27" t="inlineStr">
        <is>
          <t>E</t>
        </is>
      </c>
      <c r="W4" s="27" t="inlineStr">
        <is>
          <t>ND</t>
        </is>
      </c>
      <c r="X4" s="27" t="inlineStr">
        <is>
          <t>Final</t>
        </is>
      </c>
      <c r="Y4" s="27" t="inlineStr">
        <is>
          <t>Dur</t>
        </is>
      </c>
      <c r="Z4" s="27" t="inlineStr">
        <is>
          <t>TOPLAM</t>
        </is>
      </c>
      <c r="AA4" s="27" t="inlineStr">
        <is>
          <t>SIRALAMA</t>
        </is>
      </c>
      <c r="AB4" s="27" t="inlineStr">
        <is>
          <t>VT</t>
        </is>
      </c>
      <c r="AC4" s="27" t="inlineStr">
        <is>
          <t>UB</t>
        </is>
      </c>
      <c r="AD4" s="27" t="inlineStr">
        <is>
          <t>BB</t>
        </is>
      </c>
      <c r="AE4" s="27" t="inlineStr">
        <is>
          <t>FX</t>
        </is>
      </c>
    </row>
    <row r="5" ht="13" customHeight="1">
      <c r="A5" s="28" t="inlineStr">
        <is>
          <t>Final = MAX(0, D+E−ND)  |  Dur: N=Normal · G=Gecersiz · D=Yarışmadı/DNS  |  Mavi sütun = formül (elle girme)  |  Yeşil = Toplam  |  Sarı = Sıralama</t>
        </is>
      </c>
    </row>
    <row r="6">
      <c r="A6" s="29" t="n">
        <v>1</v>
      </c>
      <c r="B6" s="30" t="n"/>
      <c r="C6" s="30" t="n"/>
      <c r="D6" s="31" t="n"/>
      <c r="E6" s="32" t="n"/>
      <c r="F6" s="33" t="n"/>
      <c r="G6" s="33" t="n"/>
      <c r="H6" s="33" t="n"/>
      <c r="I6" s="34">
        <f>IF(OR(J6="G",J6="D"),0,IF(AND(F6="",G6=""),0,MAX(0,IFERROR(F6+0,0)+IFERROR(G6+0,0)-IFERROR(H6+0,0))))</f>
        <v/>
      </c>
      <c r="J6" s="35" t="n"/>
      <c r="K6" s="33" t="n"/>
      <c r="L6" s="33" t="n"/>
      <c r="M6" s="33" t="n"/>
      <c r="N6" s="34">
        <f>IF(OR(O6="G",O6="D"),0,IF(AND(K6="",L6=""),0,MAX(0,IFERROR(K6+0,0)+IFERROR(L6+0,0)-IFERROR(M6+0,0))))</f>
        <v/>
      </c>
      <c r="O6" s="35" t="n"/>
      <c r="P6" s="33" t="n"/>
      <c r="Q6" s="33" t="n"/>
      <c r="R6" s="33" t="n"/>
      <c r="S6" s="34">
        <f>IF(OR(T6="G",T6="D"),0,IF(AND(P6="",Q6=""),0,MAX(0,IFERROR(P6+0,0)+IFERROR(Q6+0,0)-IFERROR(R6+0,0))))</f>
        <v/>
      </c>
      <c r="T6" s="35" t="n"/>
      <c r="U6" s="33" t="n"/>
      <c r="V6" s="33" t="n"/>
      <c r="W6" s="33" t="n"/>
      <c r="X6" s="34">
        <f>IF(OR(Y6="G",Y6="D"),0,IF(AND(U6="",V6=""),0,MAX(0,IFERROR(U6+0,0)+IFERROR(V6+0,0)-IFERROR(W6+0,0))))</f>
        <v/>
      </c>
      <c r="Y6" s="35" t="n"/>
      <c r="Z6" s="36">
        <f>IF(B6="","",IF(OR(J6="G",J6="D"),0,I6)+IF(OR(O6="G",O6="D"),0,N6)+IF(OR(T6="G",T6="D"),0,S6)+IF(OR(Y6="G",Y6="D"),0,X6))</f>
        <v/>
      </c>
      <c r="AA6" s="37">
        <f>IF(OR(B6="",Z6=0),"-",RANK.EQ(Z6,$Z$6:$Z$45,0))</f>
        <v/>
      </c>
      <c r="AB6" s="35">
        <f>IF(OR(B6="",I6=0),"-",IF(OR(J6="G",J6="D"),IF(J6="G","G","D"),COUNTIF($I$6:$I$45,"&gt;"&amp;I6)+1))</f>
        <v/>
      </c>
      <c r="AC6" s="35">
        <f>IF(OR(B6="",N6=0),"-",IF(OR(O6="G",O6="D"),IF(O6="G","G","D"),COUNTIF($N$6:$N$45,"&gt;"&amp;N6)+1))</f>
        <v/>
      </c>
      <c r="AD6" s="35">
        <f>IF(OR(B6="",S6=0),"-",IF(OR(T6="G",T6="D"),IF(T6="G","G","D"),COUNTIF($S$6:$S$45,"&gt;"&amp;S6)+1))</f>
        <v/>
      </c>
      <c r="AE6" s="35">
        <f>IF(OR(B6="",X6=0),"-",IF(OR(Y6="G",Y6="D"),IF(Y6="G","G","D"),COUNTIF($X$6:$X$45,"&gt;"&amp;X6)+1))</f>
        <v/>
      </c>
    </row>
    <row r="7">
      <c r="A7" s="38" t="n">
        <v>2</v>
      </c>
      <c r="B7" s="39" t="n"/>
      <c r="C7" s="39" t="n"/>
      <c r="D7" s="40" t="n"/>
      <c r="E7" s="41" t="n"/>
      <c r="F7" s="42" t="n"/>
      <c r="G7" s="42" t="n"/>
      <c r="H7" s="42" t="n"/>
      <c r="I7" s="34">
        <f>IF(OR(J7="G",J7="D"),0,IF(AND(F7="",G7=""),0,MAX(0,IFERROR(F7+0,0)+IFERROR(G7+0,0)-IFERROR(H7+0,0))))</f>
        <v/>
      </c>
      <c r="J7" s="43" t="n"/>
      <c r="K7" s="42" t="n"/>
      <c r="L7" s="42" t="n"/>
      <c r="M7" s="42" t="n"/>
      <c r="N7" s="34">
        <f>IF(OR(O7="G",O7="D"),0,IF(AND(K7="",L7=""),0,MAX(0,IFERROR(K7+0,0)+IFERROR(L7+0,0)-IFERROR(M7+0,0))))</f>
        <v/>
      </c>
      <c r="O7" s="43" t="n"/>
      <c r="P7" s="42" t="n"/>
      <c r="Q7" s="42" t="n"/>
      <c r="R7" s="42" t="n"/>
      <c r="S7" s="34">
        <f>IF(OR(T7="G",T7="D"),0,IF(AND(P7="",Q7=""),0,MAX(0,IFERROR(P7+0,0)+IFERROR(Q7+0,0)-IFERROR(R7+0,0))))</f>
        <v/>
      </c>
      <c r="T7" s="43" t="n"/>
      <c r="U7" s="42" t="n"/>
      <c r="V7" s="42" t="n"/>
      <c r="W7" s="42" t="n"/>
      <c r="X7" s="34">
        <f>IF(OR(Y7="G",Y7="D"),0,IF(AND(U7="",V7=""),0,MAX(0,IFERROR(U7+0,0)+IFERROR(V7+0,0)-IFERROR(W7+0,0))))</f>
        <v/>
      </c>
      <c r="Y7" s="43" t="n"/>
      <c r="Z7" s="36">
        <f>IF(B7="","",IF(OR(J7="G",J7="D"),0,I7)+IF(OR(O7="G",O7="D"),0,N7)+IF(OR(T7="G",T7="D"),0,S7)+IF(OR(Y7="G",Y7="D"),0,X7))</f>
        <v/>
      </c>
      <c r="AA7" s="37">
        <f>IF(OR(B7="",Z7=0),"-",RANK.EQ(Z7,$Z$6:$Z$45,0))</f>
        <v/>
      </c>
      <c r="AB7" s="43">
        <f>IF(OR(B7="",I7=0),"-",IF(OR(J7="G",J7="D"),IF(J7="G","G","D"),COUNTIF($I$6:$I$45,"&gt;"&amp;I7)+1))</f>
        <v/>
      </c>
      <c r="AC7" s="43">
        <f>IF(OR(B7="",N7=0),"-",IF(OR(O7="G",O7="D"),IF(O7="G","G","D"),COUNTIF($N$6:$N$45,"&gt;"&amp;N7)+1))</f>
        <v/>
      </c>
      <c r="AD7" s="43">
        <f>IF(OR(B7="",S7=0),"-",IF(OR(T7="G",T7="D"),IF(T7="G","G","D"),COUNTIF($S$6:$S$45,"&gt;"&amp;S7)+1))</f>
        <v/>
      </c>
      <c r="AE7" s="43">
        <f>IF(OR(B7="",X7=0),"-",IF(OR(Y7="G",Y7="D"),IF(Y7="G","G","D"),COUNTIF($X$6:$X$45,"&gt;"&amp;X7)+1))</f>
        <v/>
      </c>
    </row>
    <row r="8">
      <c r="A8" s="29" t="n">
        <v>3</v>
      </c>
      <c r="B8" s="30" t="n"/>
      <c r="C8" s="30" t="n"/>
      <c r="D8" s="31" t="n"/>
      <c r="E8" s="32" t="n"/>
      <c r="F8" s="33" t="n"/>
      <c r="G8" s="33" t="n"/>
      <c r="H8" s="33" t="n"/>
      <c r="I8" s="34">
        <f>IF(OR(J8="G",J8="D"),0,IF(AND(F8="",G8=""),0,MAX(0,IFERROR(F8+0,0)+IFERROR(G8+0,0)-IFERROR(H8+0,0))))</f>
        <v/>
      </c>
      <c r="J8" s="35" t="n"/>
      <c r="K8" s="33" t="n"/>
      <c r="L8" s="33" t="n"/>
      <c r="M8" s="33" t="n"/>
      <c r="N8" s="34">
        <f>IF(OR(O8="G",O8="D"),0,IF(AND(K8="",L8=""),0,MAX(0,IFERROR(K8+0,0)+IFERROR(L8+0,0)-IFERROR(M8+0,0))))</f>
        <v/>
      </c>
      <c r="O8" s="35" t="n"/>
      <c r="P8" s="33" t="n"/>
      <c r="Q8" s="33" t="n"/>
      <c r="R8" s="33" t="n"/>
      <c r="S8" s="34">
        <f>IF(OR(T8="G",T8="D"),0,IF(AND(P8="",Q8=""),0,MAX(0,IFERROR(P8+0,0)+IFERROR(Q8+0,0)-IFERROR(R8+0,0))))</f>
        <v/>
      </c>
      <c r="T8" s="35" t="n"/>
      <c r="U8" s="33" t="n"/>
      <c r="V8" s="33" t="n"/>
      <c r="W8" s="33" t="n"/>
      <c r="X8" s="34">
        <f>IF(OR(Y8="G",Y8="D"),0,IF(AND(U8="",V8=""),0,MAX(0,IFERROR(U8+0,0)+IFERROR(V8+0,0)-IFERROR(W8+0,0))))</f>
        <v/>
      </c>
      <c r="Y8" s="35" t="n"/>
      <c r="Z8" s="36">
        <f>IF(B8="","",IF(OR(J8="G",J8="D"),0,I8)+IF(OR(O8="G",O8="D"),0,N8)+IF(OR(T8="G",T8="D"),0,S8)+IF(OR(Y8="G",Y8="D"),0,X8))</f>
        <v/>
      </c>
      <c r="AA8" s="37">
        <f>IF(OR(B8="",Z8=0),"-",RANK.EQ(Z8,$Z$6:$Z$45,0))</f>
        <v/>
      </c>
      <c r="AB8" s="35">
        <f>IF(OR(B8="",I8=0),"-",IF(OR(J8="G",J8="D"),IF(J8="G","G","D"),COUNTIF($I$6:$I$45,"&gt;"&amp;I8)+1))</f>
        <v/>
      </c>
      <c r="AC8" s="35">
        <f>IF(OR(B8="",N8=0),"-",IF(OR(O8="G",O8="D"),IF(O8="G","G","D"),COUNTIF($N$6:$N$45,"&gt;"&amp;N8)+1))</f>
        <v/>
      </c>
      <c r="AD8" s="35">
        <f>IF(OR(B8="",S8=0),"-",IF(OR(T8="G",T8="D"),IF(T8="G","G","D"),COUNTIF($S$6:$S$45,"&gt;"&amp;S8)+1))</f>
        <v/>
      </c>
      <c r="AE8" s="35">
        <f>IF(OR(B8="",X8=0),"-",IF(OR(Y8="G",Y8="D"),IF(Y8="G","G","D"),COUNTIF($X$6:$X$45,"&gt;"&amp;X8)+1))</f>
        <v/>
      </c>
    </row>
    <row r="9">
      <c r="A9" s="38" t="n">
        <v>4</v>
      </c>
      <c r="B9" s="39" t="n"/>
      <c r="C9" s="39" t="n"/>
      <c r="D9" s="40" t="n"/>
      <c r="E9" s="41" t="n"/>
      <c r="F9" s="42" t="n"/>
      <c r="G9" s="42" t="n"/>
      <c r="H9" s="42" t="n"/>
      <c r="I9" s="34">
        <f>IF(OR(J9="G",J9="D"),0,IF(AND(F9="",G9=""),0,MAX(0,IFERROR(F9+0,0)+IFERROR(G9+0,0)-IFERROR(H9+0,0))))</f>
        <v/>
      </c>
      <c r="J9" s="43" t="n"/>
      <c r="K9" s="42" t="n"/>
      <c r="L9" s="42" t="n"/>
      <c r="M9" s="42" t="n"/>
      <c r="N9" s="34">
        <f>IF(OR(O9="G",O9="D"),0,IF(AND(K9="",L9=""),0,MAX(0,IFERROR(K9+0,0)+IFERROR(L9+0,0)-IFERROR(M9+0,0))))</f>
        <v/>
      </c>
      <c r="O9" s="43" t="n"/>
      <c r="P9" s="42" t="n"/>
      <c r="Q9" s="42" t="n"/>
      <c r="R9" s="42" t="n"/>
      <c r="S9" s="34">
        <f>IF(OR(T9="G",T9="D"),0,IF(AND(P9="",Q9=""),0,MAX(0,IFERROR(P9+0,0)+IFERROR(Q9+0,0)-IFERROR(R9+0,0))))</f>
        <v/>
      </c>
      <c r="T9" s="43" t="n"/>
      <c r="U9" s="42" t="n"/>
      <c r="V9" s="42" t="n"/>
      <c r="W9" s="42" t="n"/>
      <c r="X9" s="34">
        <f>IF(OR(Y9="G",Y9="D"),0,IF(AND(U9="",V9=""),0,MAX(0,IFERROR(U9+0,0)+IFERROR(V9+0,0)-IFERROR(W9+0,0))))</f>
        <v/>
      </c>
      <c r="Y9" s="43" t="n"/>
      <c r="Z9" s="36">
        <f>IF(B9="","",IF(OR(J9="G",J9="D"),0,I9)+IF(OR(O9="G",O9="D"),0,N9)+IF(OR(T9="G",T9="D"),0,S9)+IF(OR(Y9="G",Y9="D"),0,X9))</f>
        <v/>
      </c>
      <c r="AA9" s="37">
        <f>IF(OR(B9="",Z9=0),"-",RANK.EQ(Z9,$Z$6:$Z$45,0))</f>
        <v/>
      </c>
      <c r="AB9" s="43">
        <f>IF(OR(B9="",I9=0),"-",IF(OR(J9="G",J9="D"),IF(J9="G","G","D"),COUNTIF($I$6:$I$45,"&gt;"&amp;I9)+1))</f>
        <v/>
      </c>
      <c r="AC9" s="43">
        <f>IF(OR(B9="",N9=0),"-",IF(OR(O9="G",O9="D"),IF(O9="G","G","D"),COUNTIF($N$6:$N$45,"&gt;"&amp;N9)+1))</f>
        <v/>
      </c>
      <c r="AD9" s="43">
        <f>IF(OR(B9="",S9=0),"-",IF(OR(T9="G",T9="D"),IF(T9="G","G","D"),COUNTIF($S$6:$S$45,"&gt;"&amp;S9)+1))</f>
        <v/>
      </c>
      <c r="AE9" s="43">
        <f>IF(OR(B9="",X9=0),"-",IF(OR(Y9="G",Y9="D"),IF(Y9="G","G","D"),COUNTIF($X$6:$X$45,"&gt;"&amp;X9)+1))</f>
        <v/>
      </c>
    </row>
    <row r="10">
      <c r="A10" s="29" t="n">
        <v>5</v>
      </c>
      <c r="B10" s="30" t="n"/>
      <c r="C10" s="30" t="n"/>
      <c r="D10" s="31" t="n"/>
      <c r="E10" s="32" t="n"/>
      <c r="F10" s="33" t="n"/>
      <c r="G10" s="33" t="n"/>
      <c r="H10" s="33" t="n"/>
      <c r="I10" s="34">
        <f>IF(OR(J10="G",J10="D"),0,IF(AND(F10="",G10=""),0,MAX(0,IFERROR(F10+0,0)+IFERROR(G10+0,0)-IFERROR(H10+0,0))))</f>
        <v/>
      </c>
      <c r="J10" s="35" t="n"/>
      <c r="K10" s="33" t="n"/>
      <c r="L10" s="33" t="n"/>
      <c r="M10" s="33" t="n"/>
      <c r="N10" s="34">
        <f>IF(OR(O10="G",O10="D"),0,IF(AND(K10="",L10=""),0,MAX(0,IFERROR(K10+0,0)+IFERROR(L10+0,0)-IFERROR(M10+0,0))))</f>
        <v/>
      </c>
      <c r="O10" s="35" t="n"/>
      <c r="P10" s="33" t="n"/>
      <c r="Q10" s="33" t="n"/>
      <c r="R10" s="33" t="n"/>
      <c r="S10" s="34">
        <f>IF(OR(T10="G",T10="D"),0,IF(AND(P10="",Q10=""),0,MAX(0,IFERROR(P10+0,0)+IFERROR(Q10+0,0)-IFERROR(R10+0,0))))</f>
        <v/>
      </c>
      <c r="T10" s="35" t="n"/>
      <c r="U10" s="33" t="n"/>
      <c r="V10" s="33" t="n"/>
      <c r="W10" s="33" t="n"/>
      <c r="X10" s="34">
        <f>IF(OR(Y10="G",Y10="D"),0,IF(AND(U10="",V10=""),0,MAX(0,IFERROR(U10+0,0)+IFERROR(V10+0,0)-IFERROR(W10+0,0))))</f>
        <v/>
      </c>
      <c r="Y10" s="35" t="n"/>
      <c r="Z10" s="36">
        <f>IF(B10="","",IF(OR(J10="G",J10="D"),0,I10)+IF(OR(O10="G",O10="D"),0,N10)+IF(OR(T10="G",T10="D"),0,S10)+IF(OR(Y10="G",Y10="D"),0,X10))</f>
        <v/>
      </c>
      <c r="AA10" s="37">
        <f>IF(OR(B10="",Z10=0),"-",RANK.EQ(Z10,$Z$6:$Z$45,0))</f>
        <v/>
      </c>
      <c r="AB10" s="35">
        <f>IF(OR(B10="",I10=0),"-",IF(OR(J10="G",J10="D"),IF(J10="G","G","D"),COUNTIF($I$6:$I$45,"&gt;"&amp;I10)+1))</f>
        <v/>
      </c>
      <c r="AC10" s="35">
        <f>IF(OR(B10="",N10=0),"-",IF(OR(O10="G",O10="D"),IF(O10="G","G","D"),COUNTIF($N$6:$N$45,"&gt;"&amp;N10)+1))</f>
        <v/>
      </c>
      <c r="AD10" s="35">
        <f>IF(OR(B10="",S10=0),"-",IF(OR(T10="G",T10="D"),IF(T10="G","G","D"),COUNTIF($S$6:$S$45,"&gt;"&amp;S10)+1))</f>
        <v/>
      </c>
      <c r="AE10" s="35">
        <f>IF(OR(B10="",X10=0),"-",IF(OR(Y10="G",Y10="D"),IF(Y10="G","G","D"),COUNTIF($X$6:$X$45,"&gt;"&amp;X10)+1))</f>
        <v/>
      </c>
    </row>
    <row r="11">
      <c r="A11" s="38" t="n">
        <v>6</v>
      </c>
      <c r="B11" s="39" t="n"/>
      <c r="C11" s="39" t="n"/>
      <c r="D11" s="40" t="n"/>
      <c r="E11" s="41" t="n"/>
      <c r="F11" s="42" t="n"/>
      <c r="G11" s="42" t="n"/>
      <c r="H11" s="42" t="n"/>
      <c r="I11" s="34">
        <f>IF(OR(J11="G",J11="D"),0,IF(AND(F11="",G11=""),0,MAX(0,IFERROR(F11+0,0)+IFERROR(G11+0,0)-IFERROR(H11+0,0))))</f>
        <v/>
      </c>
      <c r="J11" s="43" t="n"/>
      <c r="K11" s="42" t="n"/>
      <c r="L11" s="42" t="n"/>
      <c r="M11" s="42" t="n"/>
      <c r="N11" s="34">
        <f>IF(OR(O11="G",O11="D"),0,IF(AND(K11="",L11=""),0,MAX(0,IFERROR(K11+0,0)+IFERROR(L11+0,0)-IFERROR(M11+0,0))))</f>
        <v/>
      </c>
      <c r="O11" s="43" t="n"/>
      <c r="P11" s="42" t="n"/>
      <c r="Q11" s="42" t="n"/>
      <c r="R11" s="42" t="n"/>
      <c r="S11" s="34">
        <f>IF(OR(T11="G",T11="D"),0,IF(AND(P11="",Q11=""),0,MAX(0,IFERROR(P11+0,0)+IFERROR(Q11+0,0)-IFERROR(R11+0,0))))</f>
        <v/>
      </c>
      <c r="T11" s="43" t="n"/>
      <c r="U11" s="42" t="n"/>
      <c r="V11" s="42" t="n"/>
      <c r="W11" s="42" t="n"/>
      <c r="X11" s="34">
        <f>IF(OR(Y11="G",Y11="D"),0,IF(AND(U11="",V11=""),0,MAX(0,IFERROR(U11+0,0)+IFERROR(V11+0,0)-IFERROR(W11+0,0))))</f>
        <v/>
      </c>
      <c r="Y11" s="43" t="n"/>
      <c r="Z11" s="36">
        <f>IF(B11="","",IF(OR(J11="G",J11="D"),0,I11)+IF(OR(O11="G",O11="D"),0,N11)+IF(OR(T11="G",T11="D"),0,S11)+IF(OR(Y11="G",Y11="D"),0,X11))</f>
        <v/>
      </c>
      <c r="AA11" s="37">
        <f>IF(OR(B11="",Z11=0),"-",RANK.EQ(Z11,$Z$6:$Z$45,0))</f>
        <v/>
      </c>
      <c r="AB11" s="43">
        <f>IF(OR(B11="",I11=0),"-",IF(OR(J11="G",J11="D"),IF(J11="G","G","D"),COUNTIF($I$6:$I$45,"&gt;"&amp;I11)+1))</f>
        <v/>
      </c>
      <c r="AC11" s="43">
        <f>IF(OR(B11="",N11=0),"-",IF(OR(O11="G",O11="D"),IF(O11="G","G","D"),COUNTIF($N$6:$N$45,"&gt;"&amp;N11)+1))</f>
        <v/>
      </c>
      <c r="AD11" s="43">
        <f>IF(OR(B11="",S11=0),"-",IF(OR(T11="G",T11="D"),IF(T11="G","G","D"),COUNTIF($S$6:$S$45,"&gt;"&amp;S11)+1))</f>
        <v/>
      </c>
      <c r="AE11" s="43">
        <f>IF(OR(B11="",X11=0),"-",IF(OR(Y11="G",Y11="D"),IF(Y11="G","G","D"),COUNTIF($X$6:$X$45,"&gt;"&amp;X11)+1))</f>
        <v/>
      </c>
    </row>
    <row r="12">
      <c r="A12" s="29" t="n">
        <v>7</v>
      </c>
      <c r="B12" s="30" t="n"/>
      <c r="C12" s="30" t="n"/>
      <c r="D12" s="31" t="n"/>
      <c r="E12" s="32" t="n"/>
      <c r="F12" s="33" t="n"/>
      <c r="G12" s="33" t="n"/>
      <c r="H12" s="33" t="n"/>
      <c r="I12" s="34">
        <f>IF(OR(J12="G",J12="D"),0,IF(AND(F12="",G12=""),0,MAX(0,IFERROR(F12+0,0)+IFERROR(G12+0,0)-IFERROR(H12+0,0))))</f>
        <v/>
      </c>
      <c r="J12" s="35" t="n"/>
      <c r="K12" s="33" t="n"/>
      <c r="L12" s="33" t="n"/>
      <c r="M12" s="33" t="n"/>
      <c r="N12" s="34">
        <f>IF(OR(O12="G",O12="D"),0,IF(AND(K12="",L12=""),0,MAX(0,IFERROR(K12+0,0)+IFERROR(L12+0,0)-IFERROR(M12+0,0))))</f>
        <v/>
      </c>
      <c r="O12" s="35" t="n"/>
      <c r="P12" s="33" t="n"/>
      <c r="Q12" s="33" t="n"/>
      <c r="R12" s="33" t="n"/>
      <c r="S12" s="34">
        <f>IF(OR(T12="G",T12="D"),0,IF(AND(P12="",Q12=""),0,MAX(0,IFERROR(P12+0,0)+IFERROR(Q12+0,0)-IFERROR(R12+0,0))))</f>
        <v/>
      </c>
      <c r="T12" s="35" t="n"/>
      <c r="U12" s="33" t="n"/>
      <c r="V12" s="33" t="n"/>
      <c r="W12" s="33" t="n"/>
      <c r="X12" s="34">
        <f>IF(OR(Y12="G",Y12="D"),0,IF(AND(U12="",V12=""),0,MAX(0,IFERROR(U12+0,0)+IFERROR(V12+0,0)-IFERROR(W12+0,0))))</f>
        <v/>
      </c>
      <c r="Y12" s="35" t="n"/>
      <c r="Z12" s="36">
        <f>IF(B12="","",IF(OR(J12="G",J12="D"),0,I12)+IF(OR(O12="G",O12="D"),0,N12)+IF(OR(T12="G",T12="D"),0,S12)+IF(OR(Y12="G",Y12="D"),0,X12))</f>
        <v/>
      </c>
      <c r="AA12" s="37">
        <f>IF(OR(B12="",Z12=0),"-",RANK.EQ(Z12,$Z$6:$Z$45,0))</f>
        <v/>
      </c>
      <c r="AB12" s="35">
        <f>IF(OR(B12="",I12=0),"-",IF(OR(J12="G",J12="D"),IF(J12="G","G","D"),COUNTIF($I$6:$I$45,"&gt;"&amp;I12)+1))</f>
        <v/>
      </c>
      <c r="AC12" s="35">
        <f>IF(OR(B12="",N12=0),"-",IF(OR(O12="G",O12="D"),IF(O12="G","G","D"),COUNTIF($N$6:$N$45,"&gt;"&amp;N12)+1))</f>
        <v/>
      </c>
      <c r="AD12" s="35">
        <f>IF(OR(B12="",S12=0),"-",IF(OR(T12="G",T12="D"),IF(T12="G","G","D"),COUNTIF($S$6:$S$45,"&gt;"&amp;S12)+1))</f>
        <v/>
      </c>
      <c r="AE12" s="35">
        <f>IF(OR(B12="",X12=0),"-",IF(OR(Y12="G",Y12="D"),IF(Y12="G","G","D"),COUNTIF($X$6:$X$45,"&gt;"&amp;X12)+1))</f>
        <v/>
      </c>
    </row>
    <row r="13">
      <c r="A13" s="38" t="n">
        <v>8</v>
      </c>
      <c r="B13" s="39" t="n"/>
      <c r="C13" s="39" t="n"/>
      <c r="D13" s="40" t="n"/>
      <c r="E13" s="41" t="n"/>
      <c r="F13" s="42" t="n"/>
      <c r="G13" s="42" t="n"/>
      <c r="H13" s="42" t="n"/>
      <c r="I13" s="34">
        <f>IF(OR(J13="G",J13="D"),0,IF(AND(F13="",G13=""),0,MAX(0,IFERROR(F13+0,0)+IFERROR(G13+0,0)-IFERROR(H13+0,0))))</f>
        <v/>
      </c>
      <c r="J13" s="43" t="n"/>
      <c r="K13" s="42" t="n"/>
      <c r="L13" s="42" t="n"/>
      <c r="M13" s="42" t="n"/>
      <c r="N13" s="34">
        <f>IF(OR(O13="G",O13="D"),0,IF(AND(K13="",L13=""),0,MAX(0,IFERROR(K13+0,0)+IFERROR(L13+0,0)-IFERROR(M13+0,0))))</f>
        <v/>
      </c>
      <c r="O13" s="43" t="n"/>
      <c r="P13" s="42" t="n"/>
      <c r="Q13" s="42" t="n"/>
      <c r="R13" s="42" t="n"/>
      <c r="S13" s="34">
        <f>IF(OR(T13="G",T13="D"),0,IF(AND(P13="",Q13=""),0,MAX(0,IFERROR(P13+0,0)+IFERROR(Q13+0,0)-IFERROR(R13+0,0))))</f>
        <v/>
      </c>
      <c r="T13" s="43" t="n"/>
      <c r="U13" s="42" t="n"/>
      <c r="V13" s="42" t="n"/>
      <c r="W13" s="42" t="n"/>
      <c r="X13" s="34">
        <f>IF(OR(Y13="G",Y13="D"),0,IF(AND(U13="",V13=""),0,MAX(0,IFERROR(U13+0,0)+IFERROR(V13+0,0)-IFERROR(W13+0,0))))</f>
        <v/>
      </c>
      <c r="Y13" s="43" t="n"/>
      <c r="Z13" s="36">
        <f>IF(B13="","",IF(OR(J13="G",J13="D"),0,I13)+IF(OR(O13="G",O13="D"),0,N13)+IF(OR(T13="G",T13="D"),0,S13)+IF(OR(Y13="G",Y13="D"),0,X13))</f>
        <v/>
      </c>
      <c r="AA13" s="37">
        <f>IF(OR(B13="",Z13=0),"-",RANK.EQ(Z13,$Z$6:$Z$45,0))</f>
        <v/>
      </c>
      <c r="AB13" s="43">
        <f>IF(OR(B13="",I13=0),"-",IF(OR(J13="G",J13="D"),IF(J13="G","G","D"),COUNTIF($I$6:$I$45,"&gt;"&amp;I13)+1))</f>
        <v/>
      </c>
      <c r="AC13" s="43">
        <f>IF(OR(B13="",N13=0),"-",IF(OR(O13="G",O13="D"),IF(O13="G","G","D"),COUNTIF($N$6:$N$45,"&gt;"&amp;N13)+1))</f>
        <v/>
      </c>
      <c r="AD13" s="43">
        <f>IF(OR(B13="",S13=0),"-",IF(OR(T13="G",T13="D"),IF(T13="G","G","D"),COUNTIF($S$6:$S$45,"&gt;"&amp;S13)+1))</f>
        <v/>
      </c>
      <c r="AE13" s="43">
        <f>IF(OR(B13="",X13=0),"-",IF(OR(Y13="G",Y13="D"),IF(Y13="G","G","D"),COUNTIF($X$6:$X$45,"&gt;"&amp;X13)+1))</f>
        <v/>
      </c>
    </row>
    <row r="14">
      <c r="A14" s="29" t="n">
        <v>9</v>
      </c>
      <c r="B14" s="30" t="n"/>
      <c r="C14" s="30" t="n"/>
      <c r="D14" s="31" t="n"/>
      <c r="E14" s="32" t="n"/>
      <c r="F14" s="33" t="n"/>
      <c r="G14" s="33" t="n"/>
      <c r="H14" s="33" t="n"/>
      <c r="I14" s="34">
        <f>IF(OR(J14="G",J14="D"),0,IF(AND(F14="",G14=""),0,MAX(0,IFERROR(F14+0,0)+IFERROR(G14+0,0)-IFERROR(H14+0,0))))</f>
        <v/>
      </c>
      <c r="J14" s="35" t="n"/>
      <c r="K14" s="33" t="n"/>
      <c r="L14" s="33" t="n"/>
      <c r="M14" s="33" t="n"/>
      <c r="N14" s="34">
        <f>IF(OR(O14="G",O14="D"),0,IF(AND(K14="",L14=""),0,MAX(0,IFERROR(K14+0,0)+IFERROR(L14+0,0)-IFERROR(M14+0,0))))</f>
        <v/>
      </c>
      <c r="O14" s="35" t="n"/>
      <c r="P14" s="33" t="n"/>
      <c r="Q14" s="33" t="n"/>
      <c r="R14" s="33" t="n"/>
      <c r="S14" s="34">
        <f>IF(OR(T14="G",T14="D"),0,IF(AND(P14="",Q14=""),0,MAX(0,IFERROR(P14+0,0)+IFERROR(Q14+0,0)-IFERROR(R14+0,0))))</f>
        <v/>
      </c>
      <c r="T14" s="35" t="n"/>
      <c r="U14" s="33" t="n"/>
      <c r="V14" s="33" t="n"/>
      <c r="W14" s="33" t="n"/>
      <c r="X14" s="34">
        <f>IF(OR(Y14="G",Y14="D"),0,IF(AND(U14="",V14=""),0,MAX(0,IFERROR(U14+0,0)+IFERROR(V14+0,0)-IFERROR(W14+0,0))))</f>
        <v/>
      </c>
      <c r="Y14" s="35" t="n"/>
      <c r="Z14" s="36">
        <f>IF(B14="","",IF(OR(J14="G",J14="D"),0,I14)+IF(OR(O14="G",O14="D"),0,N14)+IF(OR(T14="G",T14="D"),0,S14)+IF(OR(Y14="G",Y14="D"),0,X14))</f>
        <v/>
      </c>
      <c r="AA14" s="37">
        <f>IF(OR(B14="",Z14=0),"-",RANK.EQ(Z14,$Z$6:$Z$45,0))</f>
        <v/>
      </c>
      <c r="AB14" s="35">
        <f>IF(OR(B14="",I14=0),"-",IF(OR(J14="G",J14="D"),IF(J14="G","G","D"),COUNTIF($I$6:$I$45,"&gt;"&amp;I14)+1))</f>
        <v/>
      </c>
      <c r="AC14" s="35">
        <f>IF(OR(B14="",N14=0),"-",IF(OR(O14="G",O14="D"),IF(O14="G","G","D"),COUNTIF($N$6:$N$45,"&gt;"&amp;N14)+1))</f>
        <v/>
      </c>
      <c r="AD14" s="35">
        <f>IF(OR(B14="",S14=0),"-",IF(OR(T14="G",T14="D"),IF(T14="G","G","D"),COUNTIF($S$6:$S$45,"&gt;"&amp;S14)+1))</f>
        <v/>
      </c>
      <c r="AE14" s="35">
        <f>IF(OR(B14="",X14=0),"-",IF(OR(Y14="G",Y14="D"),IF(Y14="G","G","D"),COUNTIF($X$6:$X$45,"&gt;"&amp;X14)+1))</f>
        <v/>
      </c>
    </row>
    <row r="15">
      <c r="A15" s="38" t="n">
        <v>10</v>
      </c>
      <c r="B15" s="39" t="n"/>
      <c r="C15" s="39" t="n"/>
      <c r="D15" s="40" t="n"/>
      <c r="E15" s="41" t="n"/>
      <c r="F15" s="42" t="n"/>
      <c r="G15" s="42" t="n"/>
      <c r="H15" s="42" t="n"/>
      <c r="I15" s="34">
        <f>IF(OR(J15="G",J15="D"),0,IF(AND(F15="",G15=""),0,MAX(0,IFERROR(F15+0,0)+IFERROR(G15+0,0)-IFERROR(H15+0,0))))</f>
        <v/>
      </c>
      <c r="J15" s="43" t="n"/>
      <c r="K15" s="42" t="n"/>
      <c r="L15" s="42" t="n"/>
      <c r="M15" s="42" t="n"/>
      <c r="N15" s="34">
        <f>IF(OR(O15="G",O15="D"),0,IF(AND(K15="",L15=""),0,MAX(0,IFERROR(K15+0,0)+IFERROR(L15+0,0)-IFERROR(M15+0,0))))</f>
        <v/>
      </c>
      <c r="O15" s="43" t="n"/>
      <c r="P15" s="42" t="n"/>
      <c r="Q15" s="42" t="n"/>
      <c r="R15" s="42" t="n"/>
      <c r="S15" s="34">
        <f>IF(OR(T15="G",T15="D"),0,IF(AND(P15="",Q15=""),0,MAX(0,IFERROR(P15+0,0)+IFERROR(Q15+0,0)-IFERROR(R15+0,0))))</f>
        <v/>
      </c>
      <c r="T15" s="43" t="n"/>
      <c r="U15" s="42" t="n"/>
      <c r="V15" s="42" t="n"/>
      <c r="W15" s="42" t="n"/>
      <c r="X15" s="34">
        <f>IF(OR(Y15="G",Y15="D"),0,IF(AND(U15="",V15=""),0,MAX(0,IFERROR(U15+0,0)+IFERROR(V15+0,0)-IFERROR(W15+0,0))))</f>
        <v/>
      </c>
      <c r="Y15" s="43" t="n"/>
      <c r="Z15" s="36">
        <f>IF(B15="","",IF(OR(J15="G",J15="D"),0,I15)+IF(OR(O15="G",O15="D"),0,N15)+IF(OR(T15="G",T15="D"),0,S15)+IF(OR(Y15="G",Y15="D"),0,X15))</f>
        <v/>
      </c>
      <c r="AA15" s="37">
        <f>IF(OR(B15="",Z15=0),"-",RANK.EQ(Z15,$Z$6:$Z$45,0))</f>
        <v/>
      </c>
      <c r="AB15" s="43">
        <f>IF(OR(B15="",I15=0),"-",IF(OR(J15="G",J15="D"),IF(J15="G","G","D"),COUNTIF($I$6:$I$45,"&gt;"&amp;I15)+1))</f>
        <v/>
      </c>
      <c r="AC15" s="43">
        <f>IF(OR(B15="",N15=0),"-",IF(OR(O15="G",O15="D"),IF(O15="G","G","D"),COUNTIF($N$6:$N$45,"&gt;"&amp;N15)+1))</f>
        <v/>
      </c>
      <c r="AD15" s="43">
        <f>IF(OR(B15="",S15=0),"-",IF(OR(T15="G",T15="D"),IF(T15="G","G","D"),COUNTIF($S$6:$S$45,"&gt;"&amp;S15)+1))</f>
        <v/>
      </c>
      <c r="AE15" s="43">
        <f>IF(OR(B15="",X15=0),"-",IF(OR(Y15="G",Y15="D"),IF(Y15="G","G","D"),COUNTIF($X$6:$X$45,"&gt;"&amp;X15)+1))</f>
        <v/>
      </c>
    </row>
    <row r="16">
      <c r="A16" s="29" t="n">
        <v>11</v>
      </c>
      <c r="B16" s="30" t="n"/>
      <c r="C16" s="30" t="n"/>
      <c r="D16" s="31" t="n"/>
      <c r="E16" s="32" t="n"/>
      <c r="F16" s="33" t="n"/>
      <c r="G16" s="33" t="n"/>
      <c r="H16" s="33" t="n"/>
      <c r="I16" s="34">
        <f>IF(OR(J16="G",J16="D"),0,IF(AND(F16="",G16=""),0,MAX(0,IFERROR(F16+0,0)+IFERROR(G16+0,0)-IFERROR(H16+0,0))))</f>
        <v/>
      </c>
      <c r="J16" s="35" t="n"/>
      <c r="K16" s="33" t="n"/>
      <c r="L16" s="33" t="n"/>
      <c r="M16" s="33" t="n"/>
      <c r="N16" s="34">
        <f>IF(OR(O16="G",O16="D"),0,IF(AND(K16="",L16=""),0,MAX(0,IFERROR(K16+0,0)+IFERROR(L16+0,0)-IFERROR(M16+0,0))))</f>
        <v/>
      </c>
      <c r="O16" s="35" t="n"/>
      <c r="P16" s="33" t="n"/>
      <c r="Q16" s="33" t="n"/>
      <c r="R16" s="33" t="n"/>
      <c r="S16" s="34">
        <f>IF(OR(T16="G",T16="D"),0,IF(AND(P16="",Q16=""),0,MAX(0,IFERROR(P16+0,0)+IFERROR(Q16+0,0)-IFERROR(R16+0,0))))</f>
        <v/>
      </c>
      <c r="T16" s="35" t="n"/>
      <c r="U16" s="33" t="n"/>
      <c r="V16" s="33" t="n"/>
      <c r="W16" s="33" t="n"/>
      <c r="X16" s="34">
        <f>IF(OR(Y16="G",Y16="D"),0,IF(AND(U16="",V16=""),0,MAX(0,IFERROR(U16+0,0)+IFERROR(V16+0,0)-IFERROR(W16+0,0))))</f>
        <v/>
      </c>
      <c r="Y16" s="35" t="n"/>
      <c r="Z16" s="36">
        <f>IF(B16="","",IF(OR(J16="G",J16="D"),0,I16)+IF(OR(O16="G",O16="D"),0,N16)+IF(OR(T16="G",T16="D"),0,S16)+IF(OR(Y16="G",Y16="D"),0,X16))</f>
        <v/>
      </c>
      <c r="AA16" s="37">
        <f>IF(OR(B16="",Z16=0),"-",RANK.EQ(Z16,$Z$6:$Z$45,0))</f>
        <v/>
      </c>
      <c r="AB16" s="35">
        <f>IF(OR(B16="",I16=0),"-",IF(OR(J16="G",J16="D"),IF(J16="G","G","D"),COUNTIF($I$6:$I$45,"&gt;"&amp;I16)+1))</f>
        <v/>
      </c>
      <c r="AC16" s="35">
        <f>IF(OR(B16="",N16=0),"-",IF(OR(O16="G",O16="D"),IF(O16="G","G","D"),COUNTIF($N$6:$N$45,"&gt;"&amp;N16)+1))</f>
        <v/>
      </c>
      <c r="AD16" s="35">
        <f>IF(OR(B16="",S16=0),"-",IF(OR(T16="G",T16="D"),IF(T16="G","G","D"),COUNTIF($S$6:$S$45,"&gt;"&amp;S16)+1))</f>
        <v/>
      </c>
      <c r="AE16" s="35">
        <f>IF(OR(B16="",X16=0),"-",IF(OR(Y16="G",Y16="D"),IF(Y16="G","G","D"),COUNTIF($X$6:$X$45,"&gt;"&amp;X16)+1))</f>
        <v/>
      </c>
    </row>
    <row r="17">
      <c r="A17" s="38" t="n">
        <v>12</v>
      </c>
      <c r="B17" s="39" t="n"/>
      <c r="C17" s="39" t="n"/>
      <c r="D17" s="40" t="n"/>
      <c r="E17" s="41" t="n"/>
      <c r="F17" s="42" t="n"/>
      <c r="G17" s="42" t="n"/>
      <c r="H17" s="42" t="n"/>
      <c r="I17" s="34">
        <f>IF(OR(J17="G",J17="D"),0,IF(AND(F17="",G17=""),0,MAX(0,IFERROR(F17+0,0)+IFERROR(G17+0,0)-IFERROR(H17+0,0))))</f>
        <v/>
      </c>
      <c r="J17" s="43" t="n"/>
      <c r="K17" s="42" t="n"/>
      <c r="L17" s="42" t="n"/>
      <c r="M17" s="42" t="n"/>
      <c r="N17" s="34">
        <f>IF(OR(O17="G",O17="D"),0,IF(AND(K17="",L17=""),0,MAX(0,IFERROR(K17+0,0)+IFERROR(L17+0,0)-IFERROR(M17+0,0))))</f>
        <v/>
      </c>
      <c r="O17" s="43" t="n"/>
      <c r="P17" s="42" t="n"/>
      <c r="Q17" s="42" t="n"/>
      <c r="R17" s="42" t="n"/>
      <c r="S17" s="34">
        <f>IF(OR(T17="G",T17="D"),0,IF(AND(P17="",Q17=""),0,MAX(0,IFERROR(P17+0,0)+IFERROR(Q17+0,0)-IFERROR(R17+0,0))))</f>
        <v/>
      </c>
      <c r="T17" s="43" t="n"/>
      <c r="U17" s="42" t="n"/>
      <c r="V17" s="42" t="n"/>
      <c r="W17" s="42" t="n"/>
      <c r="X17" s="34">
        <f>IF(OR(Y17="G",Y17="D"),0,IF(AND(U17="",V17=""),0,MAX(0,IFERROR(U17+0,0)+IFERROR(V17+0,0)-IFERROR(W17+0,0))))</f>
        <v/>
      </c>
      <c r="Y17" s="43" t="n"/>
      <c r="Z17" s="36">
        <f>IF(B17="","",IF(OR(J17="G",J17="D"),0,I17)+IF(OR(O17="G",O17="D"),0,N17)+IF(OR(T17="G",T17="D"),0,S17)+IF(OR(Y17="G",Y17="D"),0,X17))</f>
        <v/>
      </c>
      <c r="AA17" s="37">
        <f>IF(OR(B17="",Z17=0),"-",RANK.EQ(Z17,$Z$6:$Z$45,0))</f>
        <v/>
      </c>
      <c r="AB17" s="43">
        <f>IF(OR(B17="",I17=0),"-",IF(OR(J17="G",J17="D"),IF(J17="G","G","D"),COUNTIF($I$6:$I$45,"&gt;"&amp;I17)+1))</f>
        <v/>
      </c>
      <c r="AC17" s="43">
        <f>IF(OR(B17="",N17=0),"-",IF(OR(O17="G",O17="D"),IF(O17="G","G","D"),COUNTIF($N$6:$N$45,"&gt;"&amp;N17)+1))</f>
        <v/>
      </c>
      <c r="AD17" s="43">
        <f>IF(OR(B17="",S17=0),"-",IF(OR(T17="G",T17="D"),IF(T17="G","G","D"),COUNTIF($S$6:$S$45,"&gt;"&amp;S17)+1))</f>
        <v/>
      </c>
      <c r="AE17" s="43">
        <f>IF(OR(B17="",X17=0),"-",IF(OR(Y17="G",Y17="D"),IF(Y17="G","G","D"),COUNTIF($X$6:$X$45,"&gt;"&amp;X17)+1))</f>
        <v/>
      </c>
    </row>
    <row r="18">
      <c r="A18" s="29" t="n">
        <v>13</v>
      </c>
      <c r="B18" s="30" t="n"/>
      <c r="C18" s="30" t="n"/>
      <c r="D18" s="31" t="n"/>
      <c r="E18" s="32" t="n"/>
      <c r="F18" s="33" t="n"/>
      <c r="G18" s="33" t="n"/>
      <c r="H18" s="33" t="n"/>
      <c r="I18" s="34">
        <f>IF(OR(J18="G",J18="D"),0,IF(AND(F18="",G18=""),0,MAX(0,IFERROR(F18+0,0)+IFERROR(G18+0,0)-IFERROR(H18+0,0))))</f>
        <v/>
      </c>
      <c r="J18" s="35" t="n"/>
      <c r="K18" s="33" t="n"/>
      <c r="L18" s="33" t="n"/>
      <c r="M18" s="33" t="n"/>
      <c r="N18" s="34">
        <f>IF(OR(O18="G",O18="D"),0,IF(AND(K18="",L18=""),0,MAX(0,IFERROR(K18+0,0)+IFERROR(L18+0,0)-IFERROR(M18+0,0))))</f>
        <v/>
      </c>
      <c r="O18" s="35" t="n"/>
      <c r="P18" s="33" t="n"/>
      <c r="Q18" s="33" t="n"/>
      <c r="R18" s="33" t="n"/>
      <c r="S18" s="34">
        <f>IF(OR(T18="G",T18="D"),0,IF(AND(P18="",Q18=""),0,MAX(0,IFERROR(P18+0,0)+IFERROR(Q18+0,0)-IFERROR(R18+0,0))))</f>
        <v/>
      </c>
      <c r="T18" s="35" t="n"/>
      <c r="U18" s="33" t="n"/>
      <c r="V18" s="33" t="n"/>
      <c r="W18" s="33" t="n"/>
      <c r="X18" s="34">
        <f>IF(OR(Y18="G",Y18="D"),0,IF(AND(U18="",V18=""),0,MAX(0,IFERROR(U18+0,0)+IFERROR(V18+0,0)-IFERROR(W18+0,0))))</f>
        <v/>
      </c>
      <c r="Y18" s="35" t="n"/>
      <c r="Z18" s="36">
        <f>IF(B18="","",IF(OR(J18="G",J18="D"),0,I18)+IF(OR(O18="G",O18="D"),0,N18)+IF(OR(T18="G",T18="D"),0,S18)+IF(OR(Y18="G",Y18="D"),0,X18))</f>
        <v/>
      </c>
      <c r="AA18" s="37">
        <f>IF(OR(B18="",Z18=0),"-",RANK.EQ(Z18,$Z$6:$Z$45,0))</f>
        <v/>
      </c>
      <c r="AB18" s="35">
        <f>IF(OR(B18="",I18=0),"-",IF(OR(J18="G",J18="D"),IF(J18="G","G","D"),COUNTIF($I$6:$I$45,"&gt;"&amp;I18)+1))</f>
        <v/>
      </c>
      <c r="AC18" s="35">
        <f>IF(OR(B18="",N18=0),"-",IF(OR(O18="G",O18="D"),IF(O18="G","G","D"),COUNTIF($N$6:$N$45,"&gt;"&amp;N18)+1))</f>
        <v/>
      </c>
      <c r="AD18" s="35">
        <f>IF(OR(B18="",S18=0),"-",IF(OR(T18="G",T18="D"),IF(T18="G","G","D"),COUNTIF($S$6:$S$45,"&gt;"&amp;S18)+1))</f>
        <v/>
      </c>
      <c r="AE18" s="35">
        <f>IF(OR(B18="",X18=0),"-",IF(OR(Y18="G",Y18="D"),IF(Y18="G","G","D"),COUNTIF($X$6:$X$45,"&gt;"&amp;X18)+1))</f>
        <v/>
      </c>
    </row>
    <row r="19">
      <c r="A19" s="38" t="n">
        <v>14</v>
      </c>
      <c r="B19" s="39" t="n"/>
      <c r="C19" s="39" t="n"/>
      <c r="D19" s="40" t="n"/>
      <c r="E19" s="41" t="n"/>
      <c r="F19" s="42" t="n"/>
      <c r="G19" s="42" t="n"/>
      <c r="H19" s="42" t="n"/>
      <c r="I19" s="34">
        <f>IF(OR(J19="G",J19="D"),0,IF(AND(F19="",G19=""),0,MAX(0,IFERROR(F19+0,0)+IFERROR(G19+0,0)-IFERROR(H19+0,0))))</f>
        <v/>
      </c>
      <c r="J19" s="43" t="n"/>
      <c r="K19" s="42" t="n"/>
      <c r="L19" s="42" t="n"/>
      <c r="M19" s="42" t="n"/>
      <c r="N19" s="34">
        <f>IF(OR(O19="G",O19="D"),0,IF(AND(K19="",L19=""),0,MAX(0,IFERROR(K19+0,0)+IFERROR(L19+0,0)-IFERROR(M19+0,0))))</f>
        <v/>
      </c>
      <c r="O19" s="43" t="n"/>
      <c r="P19" s="42" t="n"/>
      <c r="Q19" s="42" t="n"/>
      <c r="R19" s="42" t="n"/>
      <c r="S19" s="34">
        <f>IF(OR(T19="G",T19="D"),0,IF(AND(P19="",Q19=""),0,MAX(0,IFERROR(P19+0,0)+IFERROR(Q19+0,0)-IFERROR(R19+0,0))))</f>
        <v/>
      </c>
      <c r="T19" s="43" t="n"/>
      <c r="U19" s="42" t="n"/>
      <c r="V19" s="42" t="n"/>
      <c r="W19" s="42" t="n"/>
      <c r="X19" s="34">
        <f>IF(OR(Y19="G",Y19="D"),0,IF(AND(U19="",V19=""),0,MAX(0,IFERROR(U19+0,0)+IFERROR(V19+0,0)-IFERROR(W19+0,0))))</f>
        <v/>
      </c>
      <c r="Y19" s="43" t="n"/>
      <c r="Z19" s="36">
        <f>IF(B19="","",IF(OR(J19="G",J19="D"),0,I19)+IF(OR(O19="G",O19="D"),0,N19)+IF(OR(T19="G",T19="D"),0,S19)+IF(OR(Y19="G",Y19="D"),0,X19))</f>
        <v/>
      </c>
      <c r="AA19" s="37">
        <f>IF(OR(B19="",Z19=0),"-",RANK.EQ(Z19,$Z$6:$Z$45,0))</f>
        <v/>
      </c>
      <c r="AB19" s="43">
        <f>IF(OR(B19="",I19=0),"-",IF(OR(J19="G",J19="D"),IF(J19="G","G","D"),COUNTIF($I$6:$I$45,"&gt;"&amp;I19)+1))</f>
        <v/>
      </c>
      <c r="AC19" s="43">
        <f>IF(OR(B19="",N19=0),"-",IF(OR(O19="G",O19="D"),IF(O19="G","G","D"),COUNTIF($N$6:$N$45,"&gt;"&amp;N19)+1))</f>
        <v/>
      </c>
      <c r="AD19" s="43">
        <f>IF(OR(B19="",S19=0),"-",IF(OR(T19="G",T19="D"),IF(T19="G","G","D"),COUNTIF($S$6:$S$45,"&gt;"&amp;S19)+1))</f>
        <v/>
      </c>
      <c r="AE19" s="43">
        <f>IF(OR(B19="",X19=0),"-",IF(OR(Y19="G",Y19="D"),IF(Y19="G","G","D"),COUNTIF($X$6:$X$45,"&gt;"&amp;X19)+1))</f>
        <v/>
      </c>
    </row>
    <row r="20">
      <c r="A20" s="29" t="n">
        <v>15</v>
      </c>
      <c r="B20" s="30" t="n"/>
      <c r="C20" s="30" t="n"/>
      <c r="D20" s="31" t="n"/>
      <c r="E20" s="32" t="n"/>
      <c r="F20" s="33" t="n"/>
      <c r="G20" s="33" t="n"/>
      <c r="H20" s="33" t="n"/>
      <c r="I20" s="34">
        <f>IF(OR(J20="G",J20="D"),0,IF(AND(F20="",G20=""),0,MAX(0,IFERROR(F20+0,0)+IFERROR(G20+0,0)-IFERROR(H20+0,0))))</f>
        <v/>
      </c>
      <c r="J20" s="35" t="n"/>
      <c r="K20" s="33" t="n"/>
      <c r="L20" s="33" t="n"/>
      <c r="M20" s="33" t="n"/>
      <c r="N20" s="34">
        <f>IF(OR(O20="G",O20="D"),0,IF(AND(K20="",L20=""),0,MAX(0,IFERROR(K20+0,0)+IFERROR(L20+0,0)-IFERROR(M20+0,0))))</f>
        <v/>
      </c>
      <c r="O20" s="35" t="n"/>
      <c r="P20" s="33" t="n"/>
      <c r="Q20" s="33" t="n"/>
      <c r="R20" s="33" t="n"/>
      <c r="S20" s="34">
        <f>IF(OR(T20="G",T20="D"),0,IF(AND(P20="",Q20=""),0,MAX(0,IFERROR(P20+0,0)+IFERROR(Q20+0,0)-IFERROR(R20+0,0))))</f>
        <v/>
      </c>
      <c r="T20" s="35" t="n"/>
      <c r="U20" s="33" t="n"/>
      <c r="V20" s="33" t="n"/>
      <c r="W20" s="33" t="n"/>
      <c r="X20" s="34">
        <f>IF(OR(Y20="G",Y20="D"),0,IF(AND(U20="",V20=""),0,MAX(0,IFERROR(U20+0,0)+IFERROR(V20+0,0)-IFERROR(W20+0,0))))</f>
        <v/>
      </c>
      <c r="Y20" s="35" t="n"/>
      <c r="Z20" s="36">
        <f>IF(B20="","",IF(OR(J20="G",J20="D"),0,I20)+IF(OR(O20="G",O20="D"),0,N20)+IF(OR(T20="G",T20="D"),0,S20)+IF(OR(Y20="G",Y20="D"),0,X20))</f>
        <v/>
      </c>
      <c r="AA20" s="37">
        <f>IF(OR(B20="",Z20=0),"-",RANK.EQ(Z20,$Z$6:$Z$45,0))</f>
        <v/>
      </c>
      <c r="AB20" s="35">
        <f>IF(OR(B20="",I20=0),"-",IF(OR(J20="G",J20="D"),IF(J20="G","G","D"),COUNTIF($I$6:$I$45,"&gt;"&amp;I20)+1))</f>
        <v/>
      </c>
      <c r="AC20" s="35">
        <f>IF(OR(B20="",N20=0),"-",IF(OR(O20="G",O20="D"),IF(O20="G","G","D"),COUNTIF($N$6:$N$45,"&gt;"&amp;N20)+1))</f>
        <v/>
      </c>
      <c r="AD20" s="35">
        <f>IF(OR(B20="",S20=0),"-",IF(OR(T20="G",T20="D"),IF(T20="G","G","D"),COUNTIF($S$6:$S$45,"&gt;"&amp;S20)+1))</f>
        <v/>
      </c>
      <c r="AE20" s="35">
        <f>IF(OR(B20="",X20=0),"-",IF(OR(Y20="G",Y20="D"),IF(Y20="G","G","D"),COUNTIF($X$6:$X$45,"&gt;"&amp;X20)+1))</f>
        <v/>
      </c>
    </row>
    <row r="21">
      <c r="A21" s="38" t="n">
        <v>16</v>
      </c>
      <c r="B21" s="39" t="n"/>
      <c r="C21" s="39" t="n"/>
      <c r="D21" s="40" t="n"/>
      <c r="E21" s="41" t="n"/>
      <c r="F21" s="42" t="n"/>
      <c r="G21" s="42" t="n"/>
      <c r="H21" s="42" t="n"/>
      <c r="I21" s="34">
        <f>IF(OR(J21="G",J21="D"),0,IF(AND(F21="",G21=""),0,MAX(0,IFERROR(F21+0,0)+IFERROR(G21+0,0)-IFERROR(H21+0,0))))</f>
        <v/>
      </c>
      <c r="J21" s="43" t="n"/>
      <c r="K21" s="42" t="n"/>
      <c r="L21" s="42" t="n"/>
      <c r="M21" s="42" t="n"/>
      <c r="N21" s="34">
        <f>IF(OR(O21="G",O21="D"),0,IF(AND(K21="",L21=""),0,MAX(0,IFERROR(K21+0,0)+IFERROR(L21+0,0)-IFERROR(M21+0,0))))</f>
        <v/>
      </c>
      <c r="O21" s="43" t="n"/>
      <c r="P21" s="42" t="n"/>
      <c r="Q21" s="42" t="n"/>
      <c r="R21" s="42" t="n"/>
      <c r="S21" s="34">
        <f>IF(OR(T21="G",T21="D"),0,IF(AND(P21="",Q21=""),0,MAX(0,IFERROR(P21+0,0)+IFERROR(Q21+0,0)-IFERROR(R21+0,0))))</f>
        <v/>
      </c>
      <c r="T21" s="43" t="n"/>
      <c r="U21" s="42" t="n"/>
      <c r="V21" s="42" t="n"/>
      <c r="W21" s="42" t="n"/>
      <c r="X21" s="34">
        <f>IF(OR(Y21="G",Y21="D"),0,IF(AND(U21="",V21=""),0,MAX(0,IFERROR(U21+0,0)+IFERROR(V21+0,0)-IFERROR(W21+0,0))))</f>
        <v/>
      </c>
      <c r="Y21" s="43" t="n"/>
      <c r="Z21" s="36">
        <f>IF(B21="","",IF(OR(J21="G",J21="D"),0,I21)+IF(OR(O21="G",O21="D"),0,N21)+IF(OR(T21="G",T21="D"),0,S21)+IF(OR(Y21="G",Y21="D"),0,X21))</f>
        <v/>
      </c>
      <c r="AA21" s="37">
        <f>IF(OR(B21="",Z21=0),"-",RANK.EQ(Z21,$Z$6:$Z$45,0))</f>
        <v/>
      </c>
      <c r="AB21" s="43">
        <f>IF(OR(B21="",I21=0),"-",IF(OR(J21="G",J21="D"),IF(J21="G","G","D"),COUNTIF($I$6:$I$45,"&gt;"&amp;I21)+1))</f>
        <v/>
      </c>
      <c r="AC21" s="43">
        <f>IF(OR(B21="",N21=0),"-",IF(OR(O21="G",O21="D"),IF(O21="G","G","D"),COUNTIF($N$6:$N$45,"&gt;"&amp;N21)+1))</f>
        <v/>
      </c>
      <c r="AD21" s="43">
        <f>IF(OR(B21="",S21=0),"-",IF(OR(T21="G",T21="D"),IF(T21="G","G","D"),COUNTIF($S$6:$S$45,"&gt;"&amp;S21)+1))</f>
        <v/>
      </c>
      <c r="AE21" s="43">
        <f>IF(OR(B21="",X21=0),"-",IF(OR(Y21="G",Y21="D"),IF(Y21="G","G","D"),COUNTIF($X$6:$X$45,"&gt;"&amp;X21)+1))</f>
        <v/>
      </c>
    </row>
    <row r="22">
      <c r="A22" s="29" t="n">
        <v>17</v>
      </c>
      <c r="B22" s="30" t="n"/>
      <c r="C22" s="30" t="n"/>
      <c r="D22" s="31" t="n"/>
      <c r="E22" s="32" t="n"/>
      <c r="F22" s="33" t="n"/>
      <c r="G22" s="33" t="n"/>
      <c r="H22" s="33" t="n"/>
      <c r="I22" s="34">
        <f>IF(OR(J22="G",J22="D"),0,IF(AND(F22="",G22=""),0,MAX(0,IFERROR(F22+0,0)+IFERROR(G22+0,0)-IFERROR(H22+0,0))))</f>
        <v/>
      </c>
      <c r="J22" s="35" t="n"/>
      <c r="K22" s="33" t="n"/>
      <c r="L22" s="33" t="n"/>
      <c r="M22" s="33" t="n"/>
      <c r="N22" s="34">
        <f>IF(OR(O22="G",O22="D"),0,IF(AND(K22="",L22=""),0,MAX(0,IFERROR(K22+0,0)+IFERROR(L22+0,0)-IFERROR(M22+0,0))))</f>
        <v/>
      </c>
      <c r="O22" s="35" t="n"/>
      <c r="P22" s="33" t="n"/>
      <c r="Q22" s="33" t="n"/>
      <c r="R22" s="33" t="n"/>
      <c r="S22" s="34">
        <f>IF(OR(T22="G",T22="D"),0,IF(AND(P22="",Q22=""),0,MAX(0,IFERROR(P22+0,0)+IFERROR(Q22+0,0)-IFERROR(R22+0,0))))</f>
        <v/>
      </c>
      <c r="T22" s="35" t="n"/>
      <c r="U22" s="33" t="n"/>
      <c r="V22" s="33" t="n"/>
      <c r="W22" s="33" t="n"/>
      <c r="X22" s="34">
        <f>IF(OR(Y22="G",Y22="D"),0,IF(AND(U22="",V22=""),0,MAX(0,IFERROR(U22+0,0)+IFERROR(V22+0,0)-IFERROR(W22+0,0))))</f>
        <v/>
      </c>
      <c r="Y22" s="35" t="n"/>
      <c r="Z22" s="36">
        <f>IF(B22="","",IF(OR(J22="G",J22="D"),0,I22)+IF(OR(O22="G",O22="D"),0,N22)+IF(OR(T22="G",T22="D"),0,S22)+IF(OR(Y22="G",Y22="D"),0,X22))</f>
        <v/>
      </c>
      <c r="AA22" s="37">
        <f>IF(OR(B22="",Z22=0),"-",RANK.EQ(Z22,$Z$6:$Z$45,0))</f>
        <v/>
      </c>
      <c r="AB22" s="35">
        <f>IF(OR(B22="",I22=0),"-",IF(OR(J22="G",J22="D"),IF(J22="G","G","D"),COUNTIF($I$6:$I$45,"&gt;"&amp;I22)+1))</f>
        <v/>
      </c>
      <c r="AC22" s="35">
        <f>IF(OR(B22="",N22=0),"-",IF(OR(O22="G",O22="D"),IF(O22="G","G","D"),COUNTIF($N$6:$N$45,"&gt;"&amp;N22)+1))</f>
        <v/>
      </c>
      <c r="AD22" s="35">
        <f>IF(OR(B22="",S22=0),"-",IF(OR(T22="G",T22="D"),IF(T22="G","G","D"),COUNTIF($S$6:$S$45,"&gt;"&amp;S22)+1))</f>
        <v/>
      </c>
      <c r="AE22" s="35">
        <f>IF(OR(B22="",X22=0),"-",IF(OR(Y22="G",Y22="D"),IF(Y22="G","G","D"),COUNTIF($X$6:$X$45,"&gt;"&amp;X22)+1))</f>
        <v/>
      </c>
    </row>
    <row r="23">
      <c r="A23" s="38" t="n">
        <v>18</v>
      </c>
      <c r="B23" s="39" t="n"/>
      <c r="C23" s="39" t="n"/>
      <c r="D23" s="40" t="n"/>
      <c r="E23" s="41" t="n"/>
      <c r="F23" s="42" t="n"/>
      <c r="G23" s="42" t="n"/>
      <c r="H23" s="42" t="n"/>
      <c r="I23" s="34">
        <f>IF(OR(J23="G",J23="D"),0,IF(AND(F23="",G23=""),0,MAX(0,IFERROR(F23+0,0)+IFERROR(G23+0,0)-IFERROR(H23+0,0))))</f>
        <v/>
      </c>
      <c r="J23" s="43" t="n"/>
      <c r="K23" s="42" t="n"/>
      <c r="L23" s="42" t="n"/>
      <c r="M23" s="42" t="n"/>
      <c r="N23" s="34">
        <f>IF(OR(O23="G",O23="D"),0,IF(AND(K23="",L23=""),0,MAX(0,IFERROR(K23+0,0)+IFERROR(L23+0,0)-IFERROR(M23+0,0))))</f>
        <v/>
      </c>
      <c r="O23" s="43" t="n"/>
      <c r="P23" s="42" t="n"/>
      <c r="Q23" s="42" t="n"/>
      <c r="R23" s="42" t="n"/>
      <c r="S23" s="34">
        <f>IF(OR(T23="G",T23="D"),0,IF(AND(P23="",Q23=""),0,MAX(0,IFERROR(P23+0,0)+IFERROR(Q23+0,0)-IFERROR(R23+0,0))))</f>
        <v/>
      </c>
      <c r="T23" s="43" t="n"/>
      <c r="U23" s="42" t="n"/>
      <c r="V23" s="42" t="n"/>
      <c r="W23" s="42" t="n"/>
      <c r="X23" s="34">
        <f>IF(OR(Y23="G",Y23="D"),0,IF(AND(U23="",V23=""),0,MAX(0,IFERROR(U23+0,0)+IFERROR(V23+0,0)-IFERROR(W23+0,0))))</f>
        <v/>
      </c>
      <c r="Y23" s="43" t="n"/>
      <c r="Z23" s="36">
        <f>IF(B23="","",IF(OR(J23="G",J23="D"),0,I23)+IF(OR(O23="G",O23="D"),0,N23)+IF(OR(T23="G",T23="D"),0,S23)+IF(OR(Y23="G",Y23="D"),0,X23))</f>
        <v/>
      </c>
      <c r="AA23" s="37">
        <f>IF(OR(B23="",Z23=0),"-",RANK.EQ(Z23,$Z$6:$Z$45,0))</f>
        <v/>
      </c>
      <c r="AB23" s="43">
        <f>IF(OR(B23="",I23=0),"-",IF(OR(J23="G",J23="D"),IF(J23="G","G","D"),COUNTIF($I$6:$I$45,"&gt;"&amp;I23)+1))</f>
        <v/>
      </c>
      <c r="AC23" s="43">
        <f>IF(OR(B23="",N23=0),"-",IF(OR(O23="G",O23="D"),IF(O23="G","G","D"),COUNTIF($N$6:$N$45,"&gt;"&amp;N23)+1))</f>
        <v/>
      </c>
      <c r="AD23" s="43">
        <f>IF(OR(B23="",S23=0),"-",IF(OR(T23="G",T23="D"),IF(T23="G","G","D"),COUNTIF($S$6:$S$45,"&gt;"&amp;S23)+1))</f>
        <v/>
      </c>
      <c r="AE23" s="43">
        <f>IF(OR(B23="",X23=0),"-",IF(OR(Y23="G",Y23="D"),IF(Y23="G","G","D"),COUNTIF($X$6:$X$45,"&gt;"&amp;X23)+1))</f>
        <v/>
      </c>
    </row>
    <row r="24">
      <c r="A24" s="29" t="n">
        <v>19</v>
      </c>
      <c r="B24" s="30" t="n"/>
      <c r="C24" s="30" t="n"/>
      <c r="D24" s="31" t="n"/>
      <c r="E24" s="32" t="n"/>
      <c r="F24" s="33" t="n"/>
      <c r="G24" s="33" t="n"/>
      <c r="H24" s="33" t="n"/>
      <c r="I24" s="34">
        <f>IF(OR(J24="G",J24="D"),0,IF(AND(F24="",G24=""),0,MAX(0,IFERROR(F24+0,0)+IFERROR(G24+0,0)-IFERROR(H24+0,0))))</f>
        <v/>
      </c>
      <c r="J24" s="35" t="n"/>
      <c r="K24" s="33" t="n"/>
      <c r="L24" s="33" t="n"/>
      <c r="M24" s="33" t="n"/>
      <c r="N24" s="34">
        <f>IF(OR(O24="G",O24="D"),0,IF(AND(K24="",L24=""),0,MAX(0,IFERROR(K24+0,0)+IFERROR(L24+0,0)-IFERROR(M24+0,0))))</f>
        <v/>
      </c>
      <c r="O24" s="35" t="n"/>
      <c r="P24" s="33" t="n"/>
      <c r="Q24" s="33" t="n"/>
      <c r="R24" s="33" t="n"/>
      <c r="S24" s="34">
        <f>IF(OR(T24="G",T24="D"),0,IF(AND(P24="",Q24=""),0,MAX(0,IFERROR(P24+0,0)+IFERROR(Q24+0,0)-IFERROR(R24+0,0))))</f>
        <v/>
      </c>
      <c r="T24" s="35" t="n"/>
      <c r="U24" s="33" t="n"/>
      <c r="V24" s="33" t="n"/>
      <c r="W24" s="33" t="n"/>
      <c r="X24" s="34">
        <f>IF(OR(Y24="G",Y24="D"),0,IF(AND(U24="",V24=""),0,MAX(0,IFERROR(U24+0,0)+IFERROR(V24+0,0)-IFERROR(W24+0,0))))</f>
        <v/>
      </c>
      <c r="Y24" s="35" t="n"/>
      <c r="Z24" s="36">
        <f>IF(B24="","",IF(OR(J24="G",J24="D"),0,I24)+IF(OR(O24="G",O24="D"),0,N24)+IF(OR(T24="G",T24="D"),0,S24)+IF(OR(Y24="G",Y24="D"),0,X24))</f>
        <v/>
      </c>
      <c r="AA24" s="37">
        <f>IF(OR(B24="",Z24=0),"-",RANK.EQ(Z24,$Z$6:$Z$45,0))</f>
        <v/>
      </c>
      <c r="AB24" s="35">
        <f>IF(OR(B24="",I24=0),"-",IF(OR(J24="G",J24="D"),IF(J24="G","G","D"),COUNTIF($I$6:$I$45,"&gt;"&amp;I24)+1))</f>
        <v/>
      </c>
      <c r="AC24" s="35">
        <f>IF(OR(B24="",N24=0),"-",IF(OR(O24="G",O24="D"),IF(O24="G","G","D"),COUNTIF($N$6:$N$45,"&gt;"&amp;N24)+1))</f>
        <v/>
      </c>
      <c r="AD24" s="35">
        <f>IF(OR(B24="",S24=0),"-",IF(OR(T24="G",T24="D"),IF(T24="G","G","D"),COUNTIF($S$6:$S$45,"&gt;"&amp;S24)+1))</f>
        <v/>
      </c>
      <c r="AE24" s="35">
        <f>IF(OR(B24="",X24=0),"-",IF(OR(Y24="G",Y24="D"),IF(Y24="G","G","D"),COUNTIF($X$6:$X$45,"&gt;"&amp;X24)+1))</f>
        <v/>
      </c>
    </row>
    <row r="25">
      <c r="A25" s="38" t="n">
        <v>20</v>
      </c>
      <c r="B25" s="39" t="n"/>
      <c r="C25" s="39" t="n"/>
      <c r="D25" s="40" t="n"/>
      <c r="E25" s="41" t="n"/>
      <c r="F25" s="42" t="n"/>
      <c r="G25" s="42" t="n"/>
      <c r="H25" s="42" t="n"/>
      <c r="I25" s="34">
        <f>IF(OR(J25="G",J25="D"),0,IF(AND(F25="",G25=""),0,MAX(0,IFERROR(F25+0,0)+IFERROR(G25+0,0)-IFERROR(H25+0,0))))</f>
        <v/>
      </c>
      <c r="J25" s="43" t="n"/>
      <c r="K25" s="42" t="n"/>
      <c r="L25" s="42" t="n"/>
      <c r="M25" s="42" t="n"/>
      <c r="N25" s="34">
        <f>IF(OR(O25="G",O25="D"),0,IF(AND(K25="",L25=""),0,MAX(0,IFERROR(K25+0,0)+IFERROR(L25+0,0)-IFERROR(M25+0,0))))</f>
        <v/>
      </c>
      <c r="O25" s="43" t="n"/>
      <c r="P25" s="42" t="n"/>
      <c r="Q25" s="42" t="n"/>
      <c r="R25" s="42" t="n"/>
      <c r="S25" s="34">
        <f>IF(OR(T25="G",T25="D"),0,IF(AND(P25="",Q25=""),0,MAX(0,IFERROR(P25+0,0)+IFERROR(Q25+0,0)-IFERROR(R25+0,0))))</f>
        <v/>
      </c>
      <c r="T25" s="43" t="n"/>
      <c r="U25" s="42" t="n"/>
      <c r="V25" s="42" t="n"/>
      <c r="W25" s="42" t="n"/>
      <c r="X25" s="34">
        <f>IF(OR(Y25="G",Y25="D"),0,IF(AND(U25="",V25=""),0,MAX(0,IFERROR(U25+0,0)+IFERROR(V25+0,0)-IFERROR(W25+0,0))))</f>
        <v/>
      </c>
      <c r="Y25" s="43" t="n"/>
      <c r="Z25" s="36">
        <f>IF(B25="","",IF(OR(J25="G",J25="D"),0,I25)+IF(OR(O25="G",O25="D"),0,N25)+IF(OR(T25="G",T25="D"),0,S25)+IF(OR(Y25="G",Y25="D"),0,X25))</f>
        <v/>
      </c>
      <c r="AA25" s="37">
        <f>IF(OR(B25="",Z25=0),"-",RANK.EQ(Z25,$Z$6:$Z$45,0))</f>
        <v/>
      </c>
      <c r="AB25" s="43">
        <f>IF(OR(B25="",I25=0),"-",IF(OR(J25="G",J25="D"),IF(J25="G","G","D"),COUNTIF($I$6:$I$45,"&gt;"&amp;I25)+1))</f>
        <v/>
      </c>
      <c r="AC25" s="43">
        <f>IF(OR(B25="",N25=0),"-",IF(OR(O25="G",O25="D"),IF(O25="G","G","D"),COUNTIF($N$6:$N$45,"&gt;"&amp;N25)+1))</f>
        <v/>
      </c>
      <c r="AD25" s="43">
        <f>IF(OR(B25="",S25=0),"-",IF(OR(T25="G",T25="D"),IF(T25="G","G","D"),COUNTIF($S$6:$S$45,"&gt;"&amp;S25)+1))</f>
        <v/>
      </c>
      <c r="AE25" s="43">
        <f>IF(OR(B25="",X25=0),"-",IF(OR(Y25="G",Y25="D"),IF(Y25="G","G","D"),COUNTIF($X$6:$X$45,"&gt;"&amp;X25)+1))</f>
        <v/>
      </c>
    </row>
    <row r="26">
      <c r="A26" s="29" t="n">
        <v>21</v>
      </c>
      <c r="B26" s="30" t="n"/>
      <c r="C26" s="30" t="n"/>
      <c r="D26" s="31" t="n"/>
      <c r="E26" s="32" t="n"/>
      <c r="F26" s="33" t="n"/>
      <c r="G26" s="33" t="n"/>
      <c r="H26" s="33" t="n"/>
      <c r="I26" s="34">
        <f>IF(OR(J26="G",J26="D"),0,IF(AND(F26="",G26=""),0,MAX(0,IFERROR(F26+0,0)+IFERROR(G26+0,0)-IFERROR(H26+0,0))))</f>
        <v/>
      </c>
      <c r="J26" s="35" t="n"/>
      <c r="K26" s="33" t="n"/>
      <c r="L26" s="33" t="n"/>
      <c r="M26" s="33" t="n"/>
      <c r="N26" s="34">
        <f>IF(OR(O26="G",O26="D"),0,IF(AND(K26="",L26=""),0,MAX(0,IFERROR(K26+0,0)+IFERROR(L26+0,0)-IFERROR(M26+0,0))))</f>
        <v/>
      </c>
      <c r="O26" s="35" t="n"/>
      <c r="P26" s="33" t="n"/>
      <c r="Q26" s="33" t="n"/>
      <c r="R26" s="33" t="n"/>
      <c r="S26" s="34">
        <f>IF(OR(T26="G",T26="D"),0,IF(AND(P26="",Q26=""),0,MAX(0,IFERROR(P26+0,0)+IFERROR(Q26+0,0)-IFERROR(R26+0,0))))</f>
        <v/>
      </c>
      <c r="T26" s="35" t="n"/>
      <c r="U26" s="33" t="n"/>
      <c r="V26" s="33" t="n"/>
      <c r="W26" s="33" t="n"/>
      <c r="X26" s="34">
        <f>IF(OR(Y26="G",Y26="D"),0,IF(AND(U26="",V26=""),0,MAX(0,IFERROR(U26+0,0)+IFERROR(V26+0,0)-IFERROR(W26+0,0))))</f>
        <v/>
      </c>
      <c r="Y26" s="35" t="n"/>
      <c r="Z26" s="36">
        <f>IF(B26="","",IF(OR(J26="G",J26="D"),0,I26)+IF(OR(O26="G",O26="D"),0,N26)+IF(OR(T26="G",T26="D"),0,S26)+IF(OR(Y26="G",Y26="D"),0,X26))</f>
        <v/>
      </c>
      <c r="AA26" s="37">
        <f>IF(OR(B26="",Z26=0),"-",RANK.EQ(Z26,$Z$6:$Z$45,0))</f>
        <v/>
      </c>
      <c r="AB26" s="35">
        <f>IF(OR(B26="",I26=0),"-",IF(OR(J26="G",J26="D"),IF(J26="G","G","D"),COUNTIF($I$6:$I$45,"&gt;"&amp;I26)+1))</f>
        <v/>
      </c>
      <c r="AC26" s="35">
        <f>IF(OR(B26="",N26=0),"-",IF(OR(O26="G",O26="D"),IF(O26="G","G","D"),COUNTIF($N$6:$N$45,"&gt;"&amp;N26)+1))</f>
        <v/>
      </c>
      <c r="AD26" s="35">
        <f>IF(OR(B26="",S26=0),"-",IF(OR(T26="G",T26="D"),IF(T26="G","G","D"),COUNTIF($S$6:$S$45,"&gt;"&amp;S26)+1))</f>
        <v/>
      </c>
      <c r="AE26" s="35">
        <f>IF(OR(B26="",X26=0),"-",IF(OR(Y26="G",Y26="D"),IF(Y26="G","G","D"),COUNTIF($X$6:$X$45,"&gt;"&amp;X26)+1))</f>
        <v/>
      </c>
    </row>
    <row r="27">
      <c r="A27" s="38" t="n">
        <v>22</v>
      </c>
      <c r="B27" s="39" t="n"/>
      <c r="C27" s="39" t="n"/>
      <c r="D27" s="40" t="n"/>
      <c r="E27" s="41" t="n"/>
      <c r="F27" s="42" t="n"/>
      <c r="G27" s="42" t="n"/>
      <c r="H27" s="42" t="n"/>
      <c r="I27" s="34">
        <f>IF(OR(J27="G",J27="D"),0,IF(AND(F27="",G27=""),0,MAX(0,IFERROR(F27+0,0)+IFERROR(G27+0,0)-IFERROR(H27+0,0))))</f>
        <v/>
      </c>
      <c r="J27" s="43" t="n"/>
      <c r="K27" s="42" t="n"/>
      <c r="L27" s="42" t="n"/>
      <c r="M27" s="42" t="n"/>
      <c r="N27" s="34">
        <f>IF(OR(O27="G",O27="D"),0,IF(AND(K27="",L27=""),0,MAX(0,IFERROR(K27+0,0)+IFERROR(L27+0,0)-IFERROR(M27+0,0))))</f>
        <v/>
      </c>
      <c r="O27" s="43" t="n"/>
      <c r="P27" s="42" t="n"/>
      <c r="Q27" s="42" t="n"/>
      <c r="R27" s="42" t="n"/>
      <c r="S27" s="34">
        <f>IF(OR(T27="G",T27="D"),0,IF(AND(P27="",Q27=""),0,MAX(0,IFERROR(P27+0,0)+IFERROR(Q27+0,0)-IFERROR(R27+0,0))))</f>
        <v/>
      </c>
      <c r="T27" s="43" t="n"/>
      <c r="U27" s="42" t="n"/>
      <c r="V27" s="42" t="n"/>
      <c r="W27" s="42" t="n"/>
      <c r="X27" s="34">
        <f>IF(OR(Y27="G",Y27="D"),0,IF(AND(U27="",V27=""),0,MAX(0,IFERROR(U27+0,0)+IFERROR(V27+0,0)-IFERROR(W27+0,0))))</f>
        <v/>
      </c>
      <c r="Y27" s="43" t="n"/>
      <c r="Z27" s="36">
        <f>IF(B27="","",IF(OR(J27="G",J27="D"),0,I27)+IF(OR(O27="G",O27="D"),0,N27)+IF(OR(T27="G",T27="D"),0,S27)+IF(OR(Y27="G",Y27="D"),0,X27))</f>
        <v/>
      </c>
      <c r="AA27" s="37">
        <f>IF(OR(B27="",Z27=0),"-",RANK.EQ(Z27,$Z$6:$Z$45,0))</f>
        <v/>
      </c>
      <c r="AB27" s="43">
        <f>IF(OR(B27="",I27=0),"-",IF(OR(J27="G",J27="D"),IF(J27="G","G","D"),COUNTIF($I$6:$I$45,"&gt;"&amp;I27)+1))</f>
        <v/>
      </c>
      <c r="AC27" s="43">
        <f>IF(OR(B27="",N27=0),"-",IF(OR(O27="G",O27="D"),IF(O27="G","G","D"),COUNTIF($N$6:$N$45,"&gt;"&amp;N27)+1))</f>
        <v/>
      </c>
      <c r="AD27" s="43">
        <f>IF(OR(B27="",S27=0),"-",IF(OR(T27="G",T27="D"),IF(T27="G","G","D"),COUNTIF($S$6:$S$45,"&gt;"&amp;S27)+1))</f>
        <v/>
      </c>
      <c r="AE27" s="43">
        <f>IF(OR(B27="",X27=0),"-",IF(OR(Y27="G",Y27="D"),IF(Y27="G","G","D"),COUNTIF($X$6:$X$45,"&gt;"&amp;X27)+1))</f>
        <v/>
      </c>
    </row>
    <row r="28">
      <c r="A28" s="29" t="n">
        <v>23</v>
      </c>
      <c r="B28" s="30" t="n"/>
      <c r="C28" s="30" t="n"/>
      <c r="D28" s="31" t="n"/>
      <c r="E28" s="32" t="n"/>
      <c r="F28" s="33" t="n"/>
      <c r="G28" s="33" t="n"/>
      <c r="H28" s="33" t="n"/>
      <c r="I28" s="34">
        <f>IF(OR(J28="G",J28="D"),0,IF(AND(F28="",G28=""),0,MAX(0,IFERROR(F28+0,0)+IFERROR(G28+0,0)-IFERROR(H28+0,0))))</f>
        <v/>
      </c>
      <c r="J28" s="35" t="n"/>
      <c r="K28" s="33" t="n"/>
      <c r="L28" s="33" t="n"/>
      <c r="M28" s="33" t="n"/>
      <c r="N28" s="34">
        <f>IF(OR(O28="G",O28="D"),0,IF(AND(K28="",L28=""),0,MAX(0,IFERROR(K28+0,0)+IFERROR(L28+0,0)-IFERROR(M28+0,0))))</f>
        <v/>
      </c>
      <c r="O28" s="35" t="n"/>
      <c r="P28" s="33" t="n"/>
      <c r="Q28" s="33" t="n"/>
      <c r="R28" s="33" t="n"/>
      <c r="S28" s="34">
        <f>IF(OR(T28="G",T28="D"),0,IF(AND(P28="",Q28=""),0,MAX(0,IFERROR(P28+0,0)+IFERROR(Q28+0,0)-IFERROR(R28+0,0))))</f>
        <v/>
      </c>
      <c r="T28" s="35" t="n"/>
      <c r="U28" s="33" t="n"/>
      <c r="V28" s="33" t="n"/>
      <c r="W28" s="33" t="n"/>
      <c r="X28" s="34">
        <f>IF(OR(Y28="G",Y28="D"),0,IF(AND(U28="",V28=""),0,MAX(0,IFERROR(U28+0,0)+IFERROR(V28+0,0)-IFERROR(W28+0,0))))</f>
        <v/>
      </c>
      <c r="Y28" s="35" t="n"/>
      <c r="Z28" s="36">
        <f>IF(B28="","",IF(OR(J28="G",J28="D"),0,I28)+IF(OR(O28="G",O28="D"),0,N28)+IF(OR(T28="G",T28="D"),0,S28)+IF(OR(Y28="G",Y28="D"),0,X28))</f>
        <v/>
      </c>
      <c r="AA28" s="37">
        <f>IF(OR(B28="",Z28=0),"-",RANK.EQ(Z28,$Z$6:$Z$45,0))</f>
        <v/>
      </c>
      <c r="AB28" s="35">
        <f>IF(OR(B28="",I28=0),"-",IF(OR(J28="G",J28="D"),IF(J28="G","G","D"),COUNTIF($I$6:$I$45,"&gt;"&amp;I28)+1))</f>
        <v/>
      </c>
      <c r="AC28" s="35">
        <f>IF(OR(B28="",N28=0),"-",IF(OR(O28="G",O28="D"),IF(O28="G","G","D"),COUNTIF($N$6:$N$45,"&gt;"&amp;N28)+1))</f>
        <v/>
      </c>
      <c r="AD28" s="35">
        <f>IF(OR(B28="",S28=0),"-",IF(OR(T28="G",T28="D"),IF(T28="G","G","D"),COUNTIF($S$6:$S$45,"&gt;"&amp;S28)+1))</f>
        <v/>
      </c>
      <c r="AE28" s="35">
        <f>IF(OR(B28="",X28=0),"-",IF(OR(Y28="G",Y28="D"),IF(Y28="G","G","D"),COUNTIF($X$6:$X$45,"&gt;"&amp;X28)+1))</f>
        <v/>
      </c>
    </row>
    <row r="29">
      <c r="A29" s="38" t="n">
        <v>24</v>
      </c>
      <c r="B29" s="39" t="n"/>
      <c r="C29" s="39" t="n"/>
      <c r="D29" s="40" t="n"/>
      <c r="E29" s="41" t="n"/>
      <c r="F29" s="42" t="n"/>
      <c r="G29" s="42" t="n"/>
      <c r="H29" s="42" t="n"/>
      <c r="I29" s="34">
        <f>IF(OR(J29="G",J29="D"),0,IF(AND(F29="",G29=""),0,MAX(0,IFERROR(F29+0,0)+IFERROR(G29+0,0)-IFERROR(H29+0,0))))</f>
        <v/>
      </c>
      <c r="J29" s="43" t="n"/>
      <c r="K29" s="42" t="n"/>
      <c r="L29" s="42" t="n"/>
      <c r="M29" s="42" t="n"/>
      <c r="N29" s="34">
        <f>IF(OR(O29="G",O29="D"),0,IF(AND(K29="",L29=""),0,MAX(0,IFERROR(K29+0,0)+IFERROR(L29+0,0)-IFERROR(M29+0,0))))</f>
        <v/>
      </c>
      <c r="O29" s="43" t="n"/>
      <c r="P29" s="42" t="n"/>
      <c r="Q29" s="42" t="n"/>
      <c r="R29" s="42" t="n"/>
      <c r="S29" s="34">
        <f>IF(OR(T29="G",T29="D"),0,IF(AND(P29="",Q29=""),0,MAX(0,IFERROR(P29+0,0)+IFERROR(Q29+0,0)-IFERROR(R29+0,0))))</f>
        <v/>
      </c>
      <c r="T29" s="43" t="n"/>
      <c r="U29" s="42" t="n"/>
      <c r="V29" s="42" t="n"/>
      <c r="W29" s="42" t="n"/>
      <c r="X29" s="34">
        <f>IF(OR(Y29="G",Y29="D"),0,IF(AND(U29="",V29=""),0,MAX(0,IFERROR(U29+0,0)+IFERROR(V29+0,0)-IFERROR(W29+0,0))))</f>
        <v/>
      </c>
      <c r="Y29" s="43" t="n"/>
      <c r="Z29" s="36">
        <f>IF(B29="","",IF(OR(J29="G",J29="D"),0,I29)+IF(OR(O29="G",O29="D"),0,N29)+IF(OR(T29="G",T29="D"),0,S29)+IF(OR(Y29="G",Y29="D"),0,X29))</f>
        <v/>
      </c>
      <c r="AA29" s="37">
        <f>IF(OR(B29="",Z29=0),"-",RANK.EQ(Z29,$Z$6:$Z$45,0))</f>
        <v/>
      </c>
      <c r="AB29" s="43">
        <f>IF(OR(B29="",I29=0),"-",IF(OR(J29="G",J29="D"),IF(J29="G","G","D"),COUNTIF($I$6:$I$45,"&gt;"&amp;I29)+1))</f>
        <v/>
      </c>
      <c r="AC29" s="43">
        <f>IF(OR(B29="",N29=0),"-",IF(OR(O29="G",O29="D"),IF(O29="G","G","D"),COUNTIF($N$6:$N$45,"&gt;"&amp;N29)+1))</f>
        <v/>
      </c>
      <c r="AD29" s="43">
        <f>IF(OR(B29="",S29=0),"-",IF(OR(T29="G",T29="D"),IF(T29="G","G","D"),COUNTIF($S$6:$S$45,"&gt;"&amp;S29)+1))</f>
        <v/>
      </c>
      <c r="AE29" s="43">
        <f>IF(OR(B29="",X29=0),"-",IF(OR(Y29="G",Y29="D"),IF(Y29="G","G","D"),COUNTIF($X$6:$X$45,"&gt;"&amp;X29)+1))</f>
        <v/>
      </c>
    </row>
    <row r="30">
      <c r="A30" s="29" t="n">
        <v>25</v>
      </c>
      <c r="B30" s="30" t="n"/>
      <c r="C30" s="30" t="n"/>
      <c r="D30" s="31" t="n"/>
      <c r="E30" s="32" t="n"/>
      <c r="F30" s="33" t="n"/>
      <c r="G30" s="33" t="n"/>
      <c r="H30" s="33" t="n"/>
      <c r="I30" s="34">
        <f>IF(OR(J30="G",J30="D"),0,IF(AND(F30="",G30=""),0,MAX(0,IFERROR(F30+0,0)+IFERROR(G30+0,0)-IFERROR(H30+0,0))))</f>
        <v/>
      </c>
      <c r="J30" s="35" t="n"/>
      <c r="K30" s="33" t="n"/>
      <c r="L30" s="33" t="n"/>
      <c r="M30" s="33" t="n"/>
      <c r="N30" s="34">
        <f>IF(OR(O30="G",O30="D"),0,IF(AND(K30="",L30=""),0,MAX(0,IFERROR(K30+0,0)+IFERROR(L30+0,0)-IFERROR(M30+0,0))))</f>
        <v/>
      </c>
      <c r="O30" s="35" t="n"/>
      <c r="P30" s="33" t="n"/>
      <c r="Q30" s="33" t="n"/>
      <c r="R30" s="33" t="n"/>
      <c r="S30" s="34">
        <f>IF(OR(T30="G",T30="D"),0,IF(AND(P30="",Q30=""),0,MAX(0,IFERROR(P30+0,0)+IFERROR(Q30+0,0)-IFERROR(R30+0,0))))</f>
        <v/>
      </c>
      <c r="T30" s="35" t="n"/>
      <c r="U30" s="33" t="n"/>
      <c r="V30" s="33" t="n"/>
      <c r="W30" s="33" t="n"/>
      <c r="X30" s="34">
        <f>IF(OR(Y30="G",Y30="D"),0,IF(AND(U30="",V30=""),0,MAX(0,IFERROR(U30+0,0)+IFERROR(V30+0,0)-IFERROR(W30+0,0))))</f>
        <v/>
      </c>
      <c r="Y30" s="35" t="n"/>
      <c r="Z30" s="36">
        <f>IF(B30="","",IF(OR(J30="G",J30="D"),0,I30)+IF(OR(O30="G",O30="D"),0,N30)+IF(OR(T30="G",T30="D"),0,S30)+IF(OR(Y30="G",Y30="D"),0,X30))</f>
        <v/>
      </c>
      <c r="AA30" s="37">
        <f>IF(OR(B30="",Z30=0),"-",RANK.EQ(Z30,$Z$6:$Z$45,0))</f>
        <v/>
      </c>
      <c r="AB30" s="35">
        <f>IF(OR(B30="",I30=0),"-",IF(OR(J30="G",J30="D"),IF(J30="G","G","D"),COUNTIF($I$6:$I$45,"&gt;"&amp;I30)+1))</f>
        <v/>
      </c>
      <c r="AC30" s="35">
        <f>IF(OR(B30="",N30=0),"-",IF(OR(O30="G",O30="D"),IF(O30="G","G","D"),COUNTIF($N$6:$N$45,"&gt;"&amp;N30)+1))</f>
        <v/>
      </c>
      <c r="AD30" s="35">
        <f>IF(OR(B30="",S30=0),"-",IF(OR(T30="G",T30="D"),IF(T30="G","G","D"),COUNTIF($S$6:$S$45,"&gt;"&amp;S30)+1))</f>
        <v/>
      </c>
      <c r="AE30" s="35">
        <f>IF(OR(B30="",X30=0),"-",IF(OR(Y30="G",Y30="D"),IF(Y30="G","G","D"),COUNTIF($X$6:$X$45,"&gt;"&amp;X30)+1))</f>
        <v/>
      </c>
    </row>
    <row r="31">
      <c r="A31" s="38" t="n">
        <v>26</v>
      </c>
      <c r="B31" s="39" t="n"/>
      <c r="C31" s="39" t="n"/>
      <c r="D31" s="40" t="n"/>
      <c r="E31" s="41" t="n"/>
      <c r="F31" s="42" t="n"/>
      <c r="G31" s="42" t="n"/>
      <c r="H31" s="42" t="n"/>
      <c r="I31" s="34">
        <f>IF(OR(J31="G",J31="D"),0,IF(AND(F31="",G31=""),0,MAX(0,IFERROR(F31+0,0)+IFERROR(G31+0,0)-IFERROR(H31+0,0))))</f>
        <v/>
      </c>
      <c r="J31" s="43" t="n"/>
      <c r="K31" s="42" t="n"/>
      <c r="L31" s="42" t="n"/>
      <c r="M31" s="42" t="n"/>
      <c r="N31" s="34">
        <f>IF(OR(O31="G",O31="D"),0,IF(AND(K31="",L31=""),0,MAX(0,IFERROR(K31+0,0)+IFERROR(L31+0,0)-IFERROR(M31+0,0))))</f>
        <v/>
      </c>
      <c r="O31" s="43" t="n"/>
      <c r="P31" s="42" t="n"/>
      <c r="Q31" s="42" t="n"/>
      <c r="R31" s="42" t="n"/>
      <c r="S31" s="34">
        <f>IF(OR(T31="G",T31="D"),0,IF(AND(P31="",Q31=""),0,MAX(0,IFERROR(P31+0,0)+IFERROR(Q31+0,0)-IFERROR(R31+0,0))))</f>
        <v/>
      </c>
      <c r="T31" s="43" t="n"/>
      <c r="U31" s="42" t="n"/>
      <c r="V31" s="42" t="n"/>
      <c r="W31" s="42" t="n"/>
      <c r="X31" s="34">
        <f>IF(OR(Y31="G",Y31="D"),0,IF(AND(U31="",V31=""),0,MAX(0,IFERROR(U31+0,0)+IFERROR(V31+0,0)-IFERROR(W31+0,0))))</f>
        <v/>
      </c>
      <c r="Y31" s="43" t="n"/>
      <c r="Z31" s="36">
        <f>IF(B31="","",IF(OR(J31="G",J31="D"),0,I31)+IF(OR(O31="G",O31="D"),0,N31)+IF(OR(T31="G",T31="D"),0,S31)+IF(OR(Y31="G",Y31="D"),0,X31))</f>
        <v/>
      </c>
      <c r="AA31" s="37">
        <f>IF(OR(B31="",Z31=0),"-",RANK.EQ(Z31,$Z$6:$Z$45,0))</f>
        <v/>
      </c>
      <c r="AB31" s="43">
        <f>IF(OR(B31="",I31=0),"-",IF(OR(J31="G",J31="D"),IF(J31="G","G","D"),COUNTIF($I$6:$I$45,"&gt;"&amp;I31)+1))</f>
        <v/>
      </c>
      <c r="AC31" s="43">
        <f>IF(OR(B31="",N31=0),"-",IF(OR(O31="G",O31="D"),IF(O31="G","G","D"),COUNTIF($N$6:$N$45,"&gt;"&amp;N31)+1))</f>
        <v/>
      </c>
      <c r="AD31" s="43">
        <f>IF(OR(B31="",S31=0),"-",IF(OR(T31="G",T31="D"),IF(T31="G","G","D"),COUNTIF($S$6:$S$45,"&gt;"&amp;S31)+1))</f>
        <v/>
      </c>
      <c r="AE31" s="43">
        <f>IF(OR(B31="",X31=0),"-",IF(OR(Y31="G",Y31="D"),IF(Y31="G","G","D"),COUNTIF($X$6:$X$45,"&gt;"&amp;X31)+1))</f>
        <v/>
      </c>
    </row>
    <row r="32">
      <c r="A32" s="29" t="n">
        <v>27</v>
      </c>
      <c r="B32" s="30" t="n"/>
      <c r="C32" s="30" t="n"/>
      <c r="D32" s="31" t="n"/>
      <c r="E32" s="32" t="n"/>
      <c r="F32" s="33" t="n"/>
      <c r="G32" s="33" t="n"/>
      <c r="H32" s="33" t="n"/>
      <c r="I32" s="34">
        <f>IF(OR(J32="G",J32="D"),0,IF(AND(F32="",G32=""),0,MAX(0,IFERROR(F32+0,0)+IFERROR(G32+0,0)-IFERROR(H32+0,0))))</f>
        <v/>
      </c>
      <c r="J32" s="35" t="n"/>
      <c r="K32" s="33" t="n"/>
      <c r="L32" s="33" t="n"/>
      <c r="M32" s="33" t="n"/>
      <c r="N32" s="34">
        <f>IF(OR(O32="G",O32="D"),0,IF(AND(K32="",L32=""),0,MAX(0,IFERROR(K32+0,0)+IFERROR(L32+0,0)-IFERROR(M32+0,0))))</f>
        <v/>
      </c>
      <c r="O32" s="35" t="n"/>
      <c r="P32" s="33" t="n"/>
      <c r="Q32" s="33" t="n"/>
      <c r="R32" s="33" t="n"/>
      <c r="S32" s="34">
        <f>IF(OR(T32="G",T32="D"),0,IF(AND(P32="",Q32=""),0,MAX(0,IFERROR(P32+0,0)+IFERROR(Q32+0,0)-IFERROR(R32+0,0))))</f>
        <v/>
      </c>
      <c r="T32" s="35" t="n"/>
      <c r="U32" s="33" t="n"/>
      <c r="V32" s="33" t="n"/>
      <c r="W32" s="33" t="n"/>
      <c r="X32" s="34">
        <f>IF(OR(Y32="G",Y32="D"),0,IF(AND(U32="",V32=""),0,MAX(0,IFERROR(U32+0,0)+IFERROR(V32+0,0)-IFERROR(W32+0,0))))</f>
        <v/>
      </c>
      <c r="Y32" s="35" t="n"/>
      <c r="Z32" s="36">
        <f>IF(B32="","",IF(OR(J32="G",J32="D"),0,I32)+IF(OR(O32="G",O32="D"),0,N32)+IF(OR(T32="G",T32="D"),0,S32)+IF(OR(Y32="G",Y32="D"),0,X32))</f>
        <v/>
      </c>
      <c r="AA32" s="37">
        <f>IF(OR(B32="",Z32=0),"-",RANK.EQ(Z32,$Z$6:$Z$45,0))</f>
        <v/>
      </c>
      <c r="AB32" s="35">
        <f>IF(OR(B32="",I32=0),"-",IF(OR(J32="G",J32="D"),IF(J32="G","G","D"),COUNTIF($I$6:$I$45,"&gt;"&amp;I32)+1))</f>
        <v/>
      </c>
      <c r="AC32" s="35">
        <f>IF(OR(B32="",N32=0),"-",IF(OR(O32="G",O32="D"),IF(O32="G","G","D"),COUNTIF($N$6:$N$45,"&gt;"&amp;N32)+1))</f>
        <v/>
      </c>
      <c r="AD32" s="35">
        <f>IF(OR(B32="",S32=0),"-",IF(OR(T32="G",T32="D"),IF(T32="G","G","D"),COUNTIF($S$6:$S$45,"&gt;"&amp;S32)+1))</f>
        <v/>
      </c>
      <c r="AE32" s="35">
        <f>IF(OR(B32="",X32=0),"-",IF(OR(Y32="G",Y32="D"),IF(Y32="G","G","D"),COUNTIF($X$6:$X$45,"&gt;"&amp;X32)+1))</f>
        <v/>
      </c>
    </row>
    <row r="33">
      <c r="A33" s="38" t="n">
        <v>28</v>
      </c>
      <c r="B33" s="39" t="n"/>
      <c r="C33" s="39" t="n"/>
      <c r="D33" s="40" t="n"/>
      <c r="E33" s="41" t="n"/>
      <c r="F33" s="42" t="n"/>
      <c r="G33" s="42" t="n"/>
      <c r="H33" s="42" t="n"/>
      <c r="I33" s="34">
        <f>IF(OR(J33="G",J33="D"),0,IF(AND(F33="",G33=""),0,MAX(0,IFERROR(F33+0,0)+IFERROR(G33+0,0)-IFERROR(H33+0,0))))</f>
        <v/>
      </c>
      <c r="J33" s="43" t="n"/>
      <c r="K33" s="42" t="n"/>
      <c r="L33" s="42" t="n"/>
      <c r="M33" s="42" t="n"/>
      <c r="N33" s="34">
        <f>IF(OR(O33="G",O33="D"),0,IF(AND(K33="",L33=""),0,MAX(0,IFERROR(K33+0,0)+IFERROR(L33+0,0)-IFERROR(M33+0,0))))</f>
        <v/>
      </c>
      <c r="O33" s="43" t="n"/>
      <c r="P33" s="42" t="n"/>
      <c r="Q33" s="42" t="n"/>
      <c r="R33" s="42" t="n"/>
      <c r="S33" s="34">
        <f>IF(OR(T33="G",T33="D"),0,IF(AND(P33="",Q33=""),0,MAX(0,IFERROR(P33+0,0)+IFERROR(Q33+0,0)-IFERROR(R33+0,0))))</f>
        <v/>
      </c>
      <c r="T33" s="43" t="n"/>
      <c r="U33" s="42" t="n"/>
      <c r="V33" s="42" t="n"/>
      <c r="W33" s="42" t="n"/>
      <c r="X33" s="34">
        <f>IF(OR(Y33="G",Y33="D"),0,IF(AND(U33="",V33=""),0,MAX(0,IFERROR(U33+0,0)+IFERROR(V33+0,0)-IFERROR(W33+0,0))))</f>
        <v/>
      </c>
      <c r="Y33" s="43" t="n"/>
      <c r="Z33" s="36">
        <f>IF(B33="","",IF(OR(J33="G",J33="D"),0,I33)+IF(OR(O33="G",O33="D"),0,N33)+IF(OR(T33="G",T33="D"),0,S33)+IF(OR(Y33="G",Y33="D"),0,X33))</f>
        <v/>
      </c>
      <c r="AA33" s="37">
        <f>IF(OR(B33="",Z33=0),"-",RANK.EQ(Z33,$Z$6:$Z$45,0))</f>
        <v/>
      </c>
      <c r="AB33" s="43">
        <f>IF(OR(B33="",I33=0),"-",IF(OR(J33="G",J33="D"),IF(J33="G","G","D"),COUNTIF($I$6:$I$45,"&gt;"&amp;I33)+1))</f>
        <v/>
      </c>
      <c r="AC33" s="43">
        <f>IF(OR(B33="",N33=0),"-",IF(OR(O33="G",O33="D"),IF(O33="G","G","D"),COUNTIF($N$6:$N$45,"&gt;"&amp;N33)+1))</f>
        <v/>
      </c>
      <c r="AD33" s="43">
        <f>IF(OR(B33="",S33=0),"-",IF(OR(T33="G",T33="D"),IF(T33="G","G","D"),COUNTIF($S$6:$S$45,"&gt;"&amp;S33)+1))</f>
        <v/>
      </c>
      <c r="AE33" s="43">
        <f>IF(OR(B33="",X33=0),"-",IF(OR(Y33="G",Y33="D"),IF(Y33="G","G","D"),COUNTIF($X$6:$X$45,"&gt;"&amp;X33)+1))</f>
        <v/>
      </c>
    </row>
    <row r="34">
      <c r="A34" s="29" t="n">
        <v>29</v>
      </c>
      <c r="B34" s="30" t="n"/>
      <c r="C34" s="30" t="n"/>
      <c r="D34" s="31" t="n"/>
      <c r="E34" s="32" t="n"/>
      <c r="F34" s="33" t="n"/>
      <c r="G34" s="33" t="n"/>
      <c r="H34" s="33" t="n"/>
      <c r="I34" s="34">
        <f>IF(OR(J34="G",J34="D"),0,IF(AND(F34="",G34=""),0,MAX(0,IFERROR(F34+0,0)+IFERROR(G34+0,0)-IFERROR(H34+0,0))))</f>
        <v/>
      </c>
      <c r="J34" s="35" t="n"/>
      <c r="K34" s="33" t="n"/>
      <c r="L34" s="33" t="n"/>
      <c r="M34" s="33" t="n"/>
      <c r="N34" s="34">
        <f>IF(OR(O34="G",O34="D"),0,IF(AND(K34="",L34=""),0,MAX(0,IFERROR(K34+0,0)+IFERROR(L34+0,0)-IFERROR(M34+0,0))))</f>
        <v/>
      </c>
      <c r="O34" s="35" t="n"/>
      <c r="P34" s="33" t="n"/>
      <c r="Q34" s="33" t="n"/>
      <c r="R34" s="33" t="n"/>
      <c r="S34" s="34">
        <f>IF(OR(T34="G",T34="D"),0,IF(AND(P34="",Q34=""),0,MAX(0,IFERROR(P34+0,0)+IFERROR(Q34+0,0)-IFERROR(R34+0,0))))</f>
        <v/>
      </c>
      <c r="T34" s="35" t="n"/>
      <c r="U34" s="33" t="n"/>
      <c r="V34" s="33" t="n"/>
      <c r="W34" s="33" t="n"/>
      <c r="X34" s="34">
        <f>IF(OR(Y34="G",Y34="D"),0,IF(AND(U34="",V34=""),0,MAX(0,IFERROR(U34+0,0)+IFERROR(V34+0,0)-IFERROR(W34+0,0))))</f>
        <v/>
      </c>
      <c r="Y34" s="35" t="n"/>
      <c r="Z34" s="36">
        <f>IF(B34="","",IF(OR(J34="G",J34="D"),0,I34)+IF(OR(O34="G",O34="D"),0,N34)+IF(OR(T34="G",T34="D"),0,S34)+IF(OR(Y34="G",Y34="D"),0,X34))</f>
        <v/>
      </c>
      <c r="AA34" s="37">
        <f>IF(OR(B34="",Z34=0),"-",RANK.EQ(Z34,$Z$6:$Z$45,0))</f>
        <v/>
      </c>
      <c r="AB34" s="35">
        <f>IF(OR(B34="",I34=0),"-",IF(OR(J34="G",J34="D"),IF(J34="G","G","D"),COUNTIF($I$6:$I$45,"&gt;"&amp;I34)+1))</f>
        <v/>
      </c>
      <c r="AC34" s="35">
        <f>IF(OR(B34="",N34=0),"-",IF(OR(O34="G",O34="D"),IF(O34="G","G","D"),COUNTIF($N$6:$N$45,"&gt;"&amp;N34)+1))</f>
        <v/>
      </c>
      <c r="AD34" s="35">
        <f>IF(OR(B34="",S34=0),"-",IF(OR(T34="G",T34="D"),IF(T34="G","G","D"),COUNTIF($S$6:$S$45,"&gt;"&amp;S34)+1))</f>
        <v/>
      </c>
      <c r="AE34" s="35">
        <f>IF(OR(B34="",X34=0),"-",IF(OR(Y34="G",Y34="D"),IF(Y34="G","G","D"),COUNTIF($X$6:$X$45,"&gt;"&amp;X34)+1))</f>
        <v/>
      </c>
    </row>
    <row r="35">
      <c r="A35" s="38" t="n">
        <v>30</v>
      </c>
      <c r="B35" s="39" t="n"/>
      <c r="C35" s="39" t="n"/>
      <c r="D35" s="40" t="n"/>
      <c r="E35" s="41" t="n"/>
      <c r="F35" s="42" t="n"/>
      <c r="G35" s="42" t="n"/>
      <c r="H35" s="42" t="n"/>
      <c r="I35" s="34">
        <f>IF(OR(J35="G",J35="D"),0,IF(AND(F35="",G35=""),0,MAX(0,IFERROR(F35+0,0)+IFERROR(G35+0,0)-IFERROR(H35+0,0))))</f>
        <v/>
      </c>
      <c r="J35" s="43" t="n"/>
      <c r="K35" s="42" t="n"/>
      <c r="L35" s="42" t="n"/>
      <c r="M35" s="42" t="n"/>
      <c r="N35" s="34">
        <f>IF(OR(O35="G",O35="D"),0,IF(AND(K35="",L35=""),0,MAX(0,IFERROR(K35+0,0)+IFERROR(L35+0,0)-IFERROR(M35+0,0))))</f>
        <v/>
      </c>
      <c r="O35" s="43" t="n"/>
      <c r="P35" s="42" t="n"/>
      <c r="Q35" s="42" t="n"/>
      <c r="R35" s="42" t="n"/>
      <c r="S35" s="34">
        <f>IF(OR(T35="G",T35="D"),0,IF(AND(P35="",Q35=""),0,MAX(0,IFERROR(P35+0,0)+IFERROR(Q35+0,0)-IFERROR(R35+0,0))))</f>
        <v/>
      </c>
      <c r="T35" s="43" t="n"/>
      <c r="U35" s="42" t="n"/>
      <c r="V35" s="42" t="n"/>
      <c r="W35" s="42" t="n"/>
      <c r="X35" s="34">
        <f>IF(OR(Y35="G",Y35="D"),0,IF(AND(U35="",V35=""),0,MAX(0,IFERROR(U35+0,0)+IFERROR(V35+0,0)-IFERROR(W35+0,0))))</f>
        <v/>
      </c>
      <c r="Y35" s="43" t="n"/>
      <c r="Z35" s="36">
        <f>IF(B35="","",IF(OR(J35="G",J35="D"),0,I35)+IF(OR(O35="G",O35="D"),0,N35)+IF(OR(T35="G",T35="D"),0,S35)+IF(OR(Y35="G",Y35="D"),0,X35))</f>
        <v/>
      </c>
      <c r="AA35" s="37">
        <f>IF(OR(B35="",Z35=0),"-",RANK.EQ(Z35,$Z$6:$Z$45,0))</f>
        <v/>
      </c>
      <c r="AB35" s="43">
        <f>IF(OR(B35="",I35=0),"-",IF(OR(J35="G",J35="D"),IF(J35="G","G","D"),COUNTIF($I$6:$I$45,"&gt;"&amp;I35)+1))</f>
        <v/>
      </c>
      <c r="AC35" s="43">
        <f>IF(OR(B35="",N35=0),"-",IF(OR(O35="G",O35="D"),IF(O35="G","G","D"),COUNTIF($N$6:$N$45,"&gt;"&amp;N35)+1))</f>
        <v/>
      </c>
      <c r="AD35" s="43">
        <f>IF(OR(B35="",S35=0),"-",IF(OR(T35="G",T35="D"),IF(T35="G","G","D"),COUNTIF($S$6:$S$45,"&gt;"&amp;S35)+1))</f>
        <v/>
      </c>
      <c r="AE35" s="43">
        <f>IF(OR(B35="",X35=0),"-",IF(OR(Y35="G",Y35="D"),IF(Y35="G","G","D"),COUNTIF($X$6:$X$45,"&gt;"&amp;X35)+1))</f>
        <v/>
      </c>
    </row>
    <row r="36">
      <c r="A36" s="29" t="n">
        <v>31</v>
      </c>
      <c r="B36" s="30" t="n"/>
      <c r="C36" s="30" t="n"/>
      <c r="D36" s="31" t="n"/>
      <c r="E36" s="32" t="n"/>
      <c r="F36" s="33" t="n"/>
      <c r="G36" s="33" t="n"/>
      <c r="H36" s="33" t="n"/>
      <c r="I36" s="34">
        <f>IF(OR(J36="G",J36="D"),0,IF(AND(F36="",G36=""),0,MAX(0,IFERROR(F36+0,0)+IFERROR(G36+0,0)-IFERROR(H36+0,0))))</f>
        <v/>
      </c>
      <c r="J36" s="35" t="n"/>
      <c r="K36" s="33" t="n"/>
      <c r="L36" s="33" t="n"/>
      <c r="M36" s="33" t="n"/>
      <c r="N36" s="34">
        <f>IF(OR(O36="G",O36="D"),0,IF(AND(K36="",L36=""),0,MAX(0,IFERROR(K36+0,0)+IFERROR(L36+0,0)-IFERROR(M36+0,0))))</f>
        <v/>
      </c>
      <c r="O36" s="35" t="n"/>
      <c r="P36" s="33" t="n"/>
      <c r="Q36" s="33" t="n"/>
      <c r="R36" s="33" t="n"/>
      <c r="S36" s="34">
        <f>IF(OR(T36="G",T36="D"),0,IF(AND(P36="",Q36=""),0,MAX(0,IFERROR(P36+0,0)+IFERROR(Q36+0,0)-IFERROR(R36+0,0))))</f>
        <v/>
      </c>
      <c r="T36" s="35" t="n"/>
      <c r="U36" s="33" t="n"/>
      <c r="V36" s="33" t="n"/>
      <c r="W36" s="33" t="n"/>
      <c r="X36" s="34">
        <f>IF(OR(Y36="G",Y36="D"),0,IF(AND(U36="",V36=""),0,MAX(0,IFERROR(U36+0,0)+IFERROR(V36+0,0)-IFERROR(W36+0,0))))</f>
        <v/>
      </c>
      <c r="Y36" s="35" t="n"/>
      <c r="Z36" s="36">
        <f>IF(B36="","",IF(OR(J36="G",J36="D"),0,I36)+IF(OR(O36="G",O36="D"),0,N36)+IF(OR(T36="G",T36="D"),0,S36)+IF(OR(Y36="G",Y36="D"),0,X36))</f>
        <v/>
      </c>
      <c r="AA36" s="37">
        <f>IF(OR(B36="",Z36=0),"-",RANK.EQ(Z36,$Z$6:$Z$45,0))</f>
        <v/>
      </c>
      <c r="AB36" s="35">
        <f>IF(OR(B36="",I36=0),"-",IF(OR(J36="G",J36="D"),IF(J36="G","G","D"),COUNTIF($I$6:$I$45,"&gt;"&amp;I36)+1))</f>
        <v/>
      </c>
      <c r="AC36" s="35">
        <f>IF(OR(B36="",N36=0),"-",IF(OR(O36="G",O36="D"),IF(O36="G","G","D"),COUNTIF($N$6:$N$45,"&gt;"&amp;N36)+1))</f>
        <v/>
      </c>
      <c r="AD36" s="35">
        <f>IF(OR(B36="",S36=0),"-",IF(OR(T36="G",T36="D"),IF(T36="G","G","D"),COUNTIF($S$6:$S$45,"&gt;"&amp;S36)+1))</f>
        <v/>
      </c>
      <c r="AE36" s="35">
        <f>IF(OR(B36="",X36=0),"-",IF(OR(Y36="G",Y36="D"),IF(Y36="G","G","D"),COUNTIF($X$6:$X$45,"&gt;"&amp;X36)+1))</f>
        <v/>
      </c>
    </row>
    <row r="37">
      <c r="A37" s="38" t="n">
        <v>32</v>
      </c>
      <c r="B37" s="39" t="n"/>
      <c r="C37" s="39" t="n"/>
      <c r="D37" s="40" t="n"/>
      <c r="E37" s="41" t="n"/>
      <c r="F37" s="42" t="n"/>
      <c r="G37" s="42" t="n"/>
      <c r="H37" s="42" t="n"/>
      <c r="I37" s="34">
        <f>IF(OR(J37="G",J37="D"),0,IF(AND(F37="",G37=""),0,MAX(0,IFERROR(F37+0,0)+IFERROR(G37+0,0)-IFERROR(H37+0,0))))</f>
        <v/>
      </c>
      <c r="J37" s="43" t="n"/>
      <c r="K37" s="42" t="n"/>
      <c r="L37" s="42" t="n"/>
      <c r="M37" s="42" t="n"/>
      <c r="N37" s="34">
        <f>IF(OR(O37="G",O37="D"),0,IF(AND(K37="",L37=""),0,MAX(0,IFERROR(K37+0,0)+IFERROR(L37+0,0)-IFERROR(M37+0,0))))</f>
        <v/>
      </c>
      <c r="O37" s="43" t="n"/>
      <c r="P37" s="42" t="n"/>
      <c r="Q37" s="42" t="n"/>
      <c r="R37" s="42" t="n"/>
      <c r="S37" s="34">
        <f>IF(OR(T37="G",T37="D"),0,IF(AND(P37="",Q37=""),0,MAX(0,IFERROR(P37+0,0)+IFERROR(Q37+0,0)-IFERROR(R37+0,0))))</f>
        <v/>
      </c>
      <c r="T37" s="43" t="n"/>
      <c r="U37" s="42" t="n"/>
      <c r="V37" s="42" t="n"/>
      <c r="W37" s="42" t="n"/>
      <c r="X37" s="34">
        <f>IF(OR(Y37="G",Y37="D"),0,IF(AND(U37="",V37=""),0,MAX(0,IFERROR(U37+0,0)+IFERROR(V37+0,0)-IFERROR(W37+0,0))))</f>
        <v/>
      </c>
      <c r="Y37" s="43" t="n"/>
      <c r="Z37" s="36">
        <f>IF(B37="","",IF(OR(J37="G",J37="D"),0,I37)+IF(OR(O37="G",O37="D"),0,N37)+IF(OR(T37="G",T37="D"),0,S37)+IF(OR(Y37="G",Y37="D"),0,X37))</f>
        <v/>
      </c>
      <c r="AA37" s="37">
        <f>IF(OR(B37="",Z37=0),"-",RANK.EQ(Z37,$Z$6:$Z$45,0))</f>
        <v/>
      </c>
      <c r="AB37" s="43">
        <f>IF(OR(B37="",I37=0),"-",IF(OR(J37="G",J37="D"),IF(J37="G","G","D"),COUNTIF($I$6:$I$45,"&gt;"&amp;I37)+1))</f>
        <v/>
      </c>
      <c r="AC37" s="43">
        <f>IF(OR(B37="",N37=0),"-",IF(OR(O37="G",O37="D"),IF(O37="G","G","D"),COUNTIF($N$6:$N$45,"&gt;"&amp;N37)+1))</f>
        <v/>
      </c>
      <c r="AD37" s="43">
        <f>IF(OR(B37="",S37=0),"-",IF(OR(T37="G",T37="D"),IF(T37="G","G","D"),COUNTIF($S$6:$S$45,"&gt;"&amp;S37)+1))</f>
        <v/>
      </c>
      <c r="AE37" s="43">
        <f>IF(OR(B37="",X37=0),"-",IF(OR(Y37="G",Y37="D"),IF(Y37="G","G","D"),COUNTIF($X$6:$X$45,"&gt;"&amp;X37)+1))</f>
        <v/>
      </c>
    </row>
    <row r="38">
      <c r="A38" s="29" t="n">
        <v>33</v>
      </c>
      <c r="B38" s="30" t="n"/>
      <c r="C38" s="30" t="n"/>
      <c r="D38" s="31" t="n"/>
      <c r="E38" s="32" t="n"/>
      <c r="F38" s="33" t="n"/>
      <c r="G38" s="33" t="n"/>
      <c r="H38" s="33" t="n"/>
      <c r="I38" s="34">
        <f>IF(OR(J38="G",J38="D"),0,IF(AND(F38="",G38=""),0,MAX(0,IFERROR(F38+0,0)+IFERROR(G38+0,0)-IFERROR(H38+0,0))))</f>
        <v/>
      </c>
      <c r="J38" s="35" t="n"/>
      <c r="K38" s="33" t="n"/>
      <c r="L38" s="33" t="n"/>
      <c r="M38" s="33" t="n"/>
      <c r="N38" s="34">
        <f>IF(OR(O38="G",O38="D"),0,IF(AND(K38="",L38=""),0,MAX(0,IFERROR(K38+0,0)+IFERROR(L38+0,0)-IFERROR(M38+0,0))))</f>
        <v/>
      </c>
      <c r="O38" s="35" t="n"/>
      <c r="P38" s="33" t="n"/>
      <c r="Q38" s="33" t="n"/>
      <c r="R38" s="33" t="n"/>
      <c r="S38" s="34">
        <f>IF(OR(T38="G",T38="D"),0,IF(AND(P38="",Q38=""),0,MAX(0,IFERROR(P38+0,0)+IFERROR(Q38+0,0)-IFERROR(R38+0,0))))</f>
        <v/>
      </c>
      <c r="T38" s="35" t="n"/>
      <c r="U38" s="33" t="n"/>
      <c r="V38" s="33" t="n"/>
      <c r="W38" s="33" t="n"/>
      <c r="X38" s="34">
        <f>IF(OR(Y38="G",Y38="D"),0,IF(AND(U38="",V38=""),0,MAX(0,IFERROR(U38+0,0)+IFERROR(V38+0,0)-IFERROR(W38+0,0))))</f>
        <v/>
      </c>
      <c r="Y38" s="35" t="n"/>
      <c r="Z38" s="36">
        <f>IF(B38="","",IF(OR(J38="G",J38="D"),0,I38)+IF(OR(O38="G",O38="D"),0,N38)+IF(OR(T38="G",T38="D"),0,S38)+IF(OR(Y38="G",Y38="D"),0,X38))</f>
        <v/>
      </c>
      <c r="AA38" s="37">
        <f>IF(OR(B38="",Z38=0),"-",RANK.EQ(Z38,$Z$6:$Z$45,0))</f>
        <v/>
      </c>
      <c r="AB38" s="35">
        <f>IF(OR(B38="",I38=0),"-",IF(OR(J38="G",J38="D"),IF(J38="G","G","D"),COUNTIF($I$6:$I$45,"&gt;"&amp;I38)+1))</f>
        <v/>
      </c>
      <c r="AC38" s="35">
        <f>IF(OR(B38="",N38=0),"-",IF(OR(O38="G",O38="D"),IF(O38="G","G","D"),COUNTIF($N$6:$N$45,"&gt;"&amp;N38)+1))</f>
        <v/>
      </c>
      <c r="AD38" s="35">
        <f>IF(OR(B38="",S38=0),"-",IF(OR(T38="G",T38="D"),IF(T38="G","G","D"),COUNTIF($S$6:$S$45,"&gt;"&amp;S38)+1))</f>
        <v/>
      </c>
      <c r="AE38" s="35">
        <f>IF(OR(B38="",X38=0),"-",IF(OR(Y38="G",Y38="D"),IF(Y38="G","G","D"),COUNTIF($X$6:$X$45,"&gt;"&amp;X38)+1))</f>
        <v/>
      </c>
    </row>
    <row r="39">
      <c r="A39" s="38" t="n">
        <v>34</v>
      </c>
      <c r="B39" s="39" t="n"/>
      <c r="C39" s="39" t="n"/>
      <c r="D39" s="40" t="n"/>
      <c r="E39" s="41" t="n"/>
      <c r="F39" s="42" t="n"/>
      <c r="G39" s="42" t="n"/>
      <c r="H39" s="42" t="n"/>
      <c r="I39" s="34">
        <f>IF(OR(J39="G",J39="D"),0,IF(AND(F39="",G39=""),0,MAX(0,IFERROR(F39+0,0)+IFERROR(G39+0,0)-IFERROR(H39+0,0))))</f>
        <v/>
      </c>
      <c r="J39" s="43" t="n"/>
      <c r="K39" s="42" t="n"/>
      <c r="L39" s="42" t="n"/>
      <c r="M39" s="42" t="n"/>
      <c r="N39" s="34">
        <f>IF(OR(O39="G",O39="D"),0,IF(AND(K39="",L39=""),0,MAX(0,IFERROR(K39+0,0)+IFERROR(L39+0,0)-IFERROR(M39+0,0))))</f>
        <v/>
      </c>
      <c r="O39" s="43" t="n"/>
      <c r="P39" s="42" t="n"/>
      <c r="Q39" s="42" t="n"/>
      <c r="R39" s="42" t="n"/>
      <c r="S39" s="34">
        <f>IF(OR(T39="G",T39="D"),0,IF(AND(P39="",Q39=""),0,MAX(0,IFERROR(P39+0,0)+IFERROR(Q39+0,0)-IFERROR(R39+0,0))))</f>
        <v/>
      </c>
      <c r="T39" s="43" t="n"/>
      <c r="U39" s="42" t="n"/>
      <c r="V39" s="42" t="n"/>
      <c r="W39" s="42" t="n"/>
      <c r="X39" s="34">
        <f>IF(OR(Y39="G",Y39="D"),0,IF(AND(U39="",V39=""),0,MAX(0,IFERROR(U39+0,0)+IFERROR(V39+0,0)-IFERROR(W39+0,0))))</f>
        <v/>
      </c>
      <c r="Y39" s="43" t="n"/>
      <c r="Z39" s="36">
        <f>IF(B39="","",IF(OR(J39="G",J39="D"),0,I39)+IF(OR(O39="G",O39="D"),0,N39)+IF(OR(T39="G",T39="D"),0,S39)+IF(OR(Y39="G",Y39="D"),0,X39))</f>
        <v/>
      </c>
      <c r="AA39" s="37">
        <f>IF(OR(B39="",Z39=0),"-",RANK.EQ(Z39,$Z$6:$Z$45,0))</f>
        <v/>
      </c>
      <c r="AB39" s="43">
        <f>IF(OR(B39="",I39=0),"-",IF(OR(J39="G",J39="D"),IF(J39="G","G","D"),COUNTIF($I$6:$I$45,"&gt;"&amp;I39)+1))</f>
        <v/>
      </c>
      <c r="AC39" s="43">
        <f>IF(OR(B39="",N39=0),"-",IF(OR(O39="G",O39="D"),IF(O39="G","G","D"),COUNTIF($N$6:$N$45,"&gt;"&amp;N39)+1))</f>
        <v/>
      </c>
      <c r="AD39" s="43">
        <f>IF(OR(B39="",S39=0),"-",IF(OR(T39="G",T39="D"),IF(T39="G","G","D"),COUNTIF($S$6:$S$45,"&gt;"&amp;S39)+1))</f>
        <v/>
      </c>
      <c r="AE39" s="43">
        <f>IF(OR(B39="",X39=0),"-",IF(OR(Y39="G",Y39="D"),IF(Y39="G","G","D"),COUNTIF($X$6:$X$45,"&gt;"&amp;X39)+1))</f>
        <v/>
      </c>
    </row>
    <row r="40">
      <c r="A40" s="29" t="n">
        <v>35</v>
      </c>
      <c r="B40" s="30" t="n"/>
      <c r="C40" s="30" t="n"/>
      <c r="D40" s="31" t="n"/>
      <c r="E40" s="32" t="n"/>
      <c r="F40" s="33" t="n"/>
      <c r="G40" s="33" t="n"/>
      <c r="H40" s="33" t="n"/>
      <c r="I40" s="34">
        <f>IF(OR(J40="G",J40="D"),0,IF(AND(F40="",G40=""),0,MAX(0,IFERROR(F40+0,0)+IFERROR(G40+0,0)-IFERROR(H40+0,0))))</f>
        <v/>
      </c>
      <c r="J40" s="35" t="n"/>
      <c r="K40" s="33" t="n"/>
      <c r="L40" s="33" t="n"/>
      <c r="M40" s="33" t="n"/>
      <c r="N40" s="34">
        <f>IF(OR(O40="G",O40="D"),0,IF(AND(K40="",L40=""),0,MAX(0,IFERROR(K40+0,0)+IFERROR(L40+0,0)-IFERROR(M40+0,0))))</f>
        <v/>
      </c>
      <c r="O40" s="35" t="n"/>
      <c r="P40" s="33" t="n"/>
      <c r="Q40" s="33" t="n"/>
      <c r="R40" s="33" t="n"/>
      <c r="S40" s="34">
        <f>IF(OR(T40="G",T40="D"),0,IF(AND(P40="",Q40=""),0,MAX(0,IFERROR(P40+0,0)+IFERROR(Q40+0,0)-IFERROR(R40+0,0))))</f>
        <v/>
      </c>
      <c r="T40" s="35" t="n"/>
      <c r="U40" s="33" t="n"/>
      <c r="V40" s="33" t="n"/>
      <c r="W40" s="33" t="n"/>
      <c r="X40" s="34">
        <f>IF(OR(Y40="G",Y40="D"),0,IF(AND(U40="",V40=""),0,MAX(0,IFERROR(U40+0,0)+IFERROR(V40+0,0)-IFERROR(W40+0,0))))</f>
        <v/>
      </c>
      <c r="Y40" s="35" t="n"/>
      <c r="Z40" s="36">
        <f>IF(B40="","",IF(OR(J40="G",J40="D"),0,I40)+IF(OR(O40="G",O40="D"),0,N40)+IF(OR(T40="G",T40="D"),0,S40)+IF(OR(Y40="G",Y40="D"),0,X40))</f>
        <v/>
      </c>
      <c r="AA40" s="37">
        <f>IF(OR(B40="",Z40=0),"-",RANK.EQ(Z40,$Z$6:$Z$45,0))</f>
        <v/>
      </c>
      <c r="AB40" s="35">
        <f>IF(OR(B40="",I40=0),"-",IF(OR(J40="G",J40="D"),IF(J40="G","G","D"),COUNTIF($I$6:$I$45,"&gt;"&amp;I40)+1))</f>
        <v/>
      </c>
      <c r="AC40" s="35">
        <f>IF(OR(B40="",N40=0),"-",IF(OR(O40="G",O40="D"),IF(O40="G","G","D"),COUNTIF($N$6:$N$45,"&gt;"&amp;N40)+1))</f>
        <v/>
      </c>
      <c r="AD40" s="35">
        <f>IF(OR(B40="",S40=0),"-",IF(OR(T40="G",T40="D"),IF(T40="G","G","D"),COUNTIF($S$6:$S$45,"&gt;"&amp;S40)+1))</f>
        <v/>
      </c>
      <c r="AE40" s="35">
        <f>IF(OR(B40="",X40=0),"-",IF(OR(Y40="G",Y40="D"),IF(Y40="G","G","D"),COUNTIF($X$6:$X$45,"&gt;"&amp;X40)+1))</f>
        <v/>
      </c>
    </row>
    <row r="41">
      <c r="A41" s="38" t="n">
        <v>36</v>
      </c>
      <c r="B41" s="39" t="n"/>
      <c r="C41" s="39" t="n"/>
      <c r="D41" s="40" t="n"/>
      <c r="E41" s="41" t="n"/>
      <c r="F41" s="42" t="n"/>
      <c r="G41" s="42" t="n"/>
      <c r="H41" s="42" t="n"/>
      <c r="I41" s="34">
        <f>IF(OR(J41="G",J41="D"),0,IF(AND(F41="",G41=""),0,MAX(0,IFERROR(F41+0,0)+IFERROR(G41+0,0)-IFERROR(H41+0,0))))</f>
        <v/>
      </c>
      <c r="J41" s="43" t="n"/>
      <c r="K41" s="42" t="n"/>
      <c r="L41" s="42" t="n"/>
      <c r="M41" s="42" t="n"/>
      <c r="N41" s="34">
        <f>IF(OR(O41="G",O41="D"),0,IF(AND(K41="",L41=""),0,MAX(0,IFERROR(K41+0,0)+IFERROR(L41+0,0)-IFERROR(M41+0,0))))</f>
        <v/>
      </c>
      <c r="O41" s="43" t="n"/>
      <c r="P41" s="42" t="n"/>
      <c r="Q41" s="42" t="n"/>
      <c r="R41" s="42" t="n"/>
      <c r="S41" s="34">
        <f>IF(OR(T41="G",T41="D"),0,IF(AND(P41="",Q41=""),0,MAX(0,IFERROR(P41+0,0)+IFERROR(Q41+0,0)-IFERROR(R41+0,0))))</f>
        <v/>
      </c>
      <c r="T41" s="43" t="n"/>
      <c r="U41" s="42" t="n"/>
      <c r="V41" s="42" t="n"/>
      <c r="W41" s="42" t="n"/>
      <c r="X41" s="34">
        <f>IF(OR(Y41="G",Y41="D"),0,IF(AND(U41="",V41=""),0,MAX(0,IFERROR(U41+0,0)+IFERROR(V41+0,0)-IFERROR(W41+0,0))))</f>
        <v/>
      </c>
      <c r="Y41" s="43" t="n"/>
      <c r="Z41" s="36">
        <f>IF(B41="","",IF(OR(J41="G",J41="D"),0,I41)+IF(OR(O41="G",O41="D"),0,N41)+IF(OR(T41="G",T41="D"),0,S41)+IF(OR(Y41="G",Y41="D"),0,X41))</f>
        <v/>
      </c>
      <c r="AA41" s="37">
        <f>IF(OR(B41="",Z41=0),"-",RANK.EQ(Z41,$Z$6:$Z$45,0))</f>
        <v/>
      </c>
      <c r="AB41" s="43">
        <f>IF(OR(B41="",I41=0),"-",IF(OR(J41="G",J41="D"),IF(J41="G","G","D"),COUNTIF($I$6:$I$45,"&gt;"&amp;I41)+1))</f>
        <v/>
      </c>
      <c r="AC41" s="43">
        <f>IF(OR(B41="",N41=0),"-",IF(OR(O41="G",O41="D"),IF(O41="G","G","D"),COUNTIF($N$6:$N$45,"&gt;"&amp;N41)+1))</f>
        <v/>
      </c>
      <c r="AD41" s="43">
        <f>IF(OR(B41="",S41=0),"-",IF(OR(T41="G",T41="D"),IF(T41="G","G","D"),COUNTIF($S$6:$S$45,"&gt;"&amp;S41)+1))</f>
        <v/>
      </c>
      <c r="AE41" s="43">
        <f>IF(OR(B41="",X41=0),"-",IF(OR(Y41="G",Y41="D"),IF(Y41="G","G","D"),COUNTIF($X$6:$X$45,"&gt;"&amp;X41)+1))</f>
        <v/>
      </c>
    </row>
    <row r="42">
      <c r="A42" s="29" t="n">
        <v>37</v>
      </c>
      <c r="B42" s="30" t="n"/>
      <c r="C42" s="30" t="n"/>
      <c r="D42" s="31" t="n"/>
      <c r="E42" s="32" t="n"/>
      <c r="F42" s="33" t="n"/>
      <c r="G42" s="33" t="n"/>
      <c r="H42" s="33" t="n"/>
      <c r="I42" s="34">
        <f>IF(OR(J42="G",J42="D"),0,IF(AND(F42="",G42=""),0,MAX(0,IFERROR(F42+0,0)+IFERROR(G42+0,0)-IFERROR(H42+0,0))))</f>
        <v/>
      </c>
      <c r="J42" s="35" t="n"/>
      <c r="K42" s="33" t="n"/>
      <c r="L42" s="33" t="n"/>
      <c r="M42" s="33" t="n"/>
      <c r="N42" s="34">
        <f>IF(OR(O42="G",O42="D"),0,IF(AND(K42="",L42=""),0,MAX(0,IFERROR(K42+0,0)+IFERROR(L42+0,0)-IFERROR(M42+0,0))))</f>
        <v/>
      </c>
      <c r="O42" s="35" t="n"/>
      <c r="P42" s="33" t="n"/>
      <c r="Q42" s="33" t="n"/>
      <c r="R42" s="33" t="n"/>
      <c r="S42" s="34">
        <f>IF(OR(T42="G",T42="D"),0,IF(AND(P42="",Q42=""),0,MAX(0,IFERROR(P42+0,0)+IFERROR(Q42+0,0)-IFERROR(R42+0,0))))</f>
        <v/>
      </c>
      <c r="T42" s="35" t="n"/>
      <c r="U42" s="33" t="n"/>
      <c r="V42" s="33" t="n"/>
      <c r="W42" s="33" t="n"/>
      <c r="X42" s="34">
        <f>IF(OR(Y42="G",Y42="D"),0,IF(AND(U42="",V42=""),0,MAX(0,IFERROR(U42+0,0)+IFERROR(V42+0,0)-IFERROR(W42+0,0))))</f>
        <v/>
      </c>
      <c r="Y42" s="35" t="n"/>
      <c r="Z42" s="36">
        <f>IF(B42="","",IF(OR(J42="G",J42="D"),0,I42)+IF(OR(O42="G",O42="D"),0,N42)+IF(OR(T42="G",T42="D"),0,S42)+IF(OR(Y42="G",Y42="D"),0,X42))</f>
        <v/>
      </c>
      <c r="AA42" s="37">
        <f>IF(OR(B42="",Z42=0),"-",RANK.EQ(Z42,$Z$6:$Z$45,0))</f>
        <v/>
      </c>
      <c r="AB42" s="35">
        <f>IF(OR(B42="",I42=0),"-",IF(OR(J42="G",J42="D"),IF(J42="G","G","D"),COUNTIF($I$6:$I$45,"&gt;"&amp;I42)+1))</f>
        <v/>
      </c>
      <c r="AC42" s="35">
        <f>IF(OR(B42="",N42=0),"-",IF(OR(O42="G",O42="D"),IF(O42="G","G","D"),COUNTIF($N$6:$N$45,"&gt;"&amp;N42)+1))</f>
        <v/>
      </c>
      <c r="AD42" s="35">
        <f>IF(OR(B42="",S42=0),"-",IF(OR(T42="G",T42="D"),IF(T42="G","G","D"),COUNTIF($S$6:$S$45,"&gt;"&amp;S42)+1))</f>
        <v/>
      </c>
      <c r="AE42" s="35">
        <f>IF(OR(B42="",X42=0),"-",IF(OR(Y42="G",Y42="D"),IF(Y42="G","G","D"),COUNTIF($X$6:$X$45,"&gt;"&amp;X42)+1))</f>
        <v/>
      </c>
    </row>
    <row r="43">
      <c r="A43" s="38" t="n">
        <v>38</v>
      </c>
      <c r="B43" s="39" t="n"/>
      <c r="C43" s="39" t="n"/>
      <c r="D43" s="40" t="n"/>
      <c r="E43" s="41" t="n"/>
      <c r="F43" s="42" t="n"/>
      <c r="G43" s="42" t="n"/>
      <c r="H43" s="42" t="n"/>
      <c r="I43" s="34">
        <f>IF(OR(J43="G",J43="D"),0,IF(AND(F43="",G43=""),0,MAX(0,IFERROR(F43+0,0)+IFERROR(G43+0,0)-IFERROR(H43+0,0))))</f>
        <v/>
      </c>
      <c r="J43" s="43" t="n"/>
      <c r="K43" s="42" t="n"/>
      <c r="L43" s="42" t="n"/>
      <c r="M43" s="42" t="n"/>
      <c r="N43" s="34">
        <f>IF(OR(O43="G",O43="D"),0,IF(AND(K43="",L43=""),0,MAX(0,IFERROR(K43+0,0)+IFERROR(L43+0,0)-IFERROR(M43+0,0))))</f>
        <v/>
      </c>
      <c r="O43" s="43" t="n"/>
      <c r="P43" s="42" t="n"/>
      <c r="Q43" s="42" t="n"/>
      <c r="R43" s="42" t="n"/>
      <c r="S43" s="34">
        <f>IF(OR(T43="G",T43="D"),0,IF(AND(P43="",Q43=""),0,MAX(0,IFERROR(P43+0,0)+IFERROR(Q43+0,0)-IFERROR(R43+0,0))))</f>
        <v/>
      </c>
      <c r="T43" s="43" t="n"/>
      <c r="U43" s="42" t="n"/>
      <c r="V43" s="42" t="n"/>
      <c r="W43" s="42" t="n"/>
      <c r="X43" s="34">
        <f>IF(OR(Y43="G",Y43="D"),0,IF(AND(U43="",V43=""),0,MAX(0,IFERROR(U43+0,0)+IFERROR(V43+0,0)-IFERROR(W43+0,0))))</f>
        <v/>
      </c>
      <c r="Y43" s="43" t="n"/>
      <c r="Z43" s="36">
        <f>IF(B43="","",IF(OR(J43="G",J43="D"),0,I43)+IF(OR(O43="G",O43="D"),0,N43)+IF(OR(T43="G",T43="D"),0,S43)+IF(OR(Y43="G",Y43="D"),0,X43))</f>
        <v/>
      </c>
      <c r="AA43" s="37">
        <f>IF(OR(B43="",Z43=0),"-",RANK.EQ(Z43,$Z$6:$Z$45,0))</f>
        <v/>
      </c>
      <c r="AB43" s="43">
        <f>IF(OR(B43="",I43=0),"-",IF(OR(J43="G",J43="D"),IF(J43="G","G","D"),COUNTIF($I$6:$I$45,"&gt;"&amp;I43)+1))</f>
        <v/>
      </c>
      <c r="AC43" s="43">
        <f>IF(OR(B43="",N43=0),"-",IF(OR(O43="G",O43="D"),IF(O43="G","G","D"),COUNTIF($N$6:$N$45,"&gt;"&amp;N43)+1))</f>
        <v/>
      </c>
      <c r="AD43" s="43">
        <f>IF(OR(B43="",S43=0),"-",IF(OR(T43="G",T43="D"),IF(T43="G","G","D"),COUNTIF($S$6:$S$45,"&gt;"&amp;S43)+1))</f>
        <v/>
      </c>
      <c r="AE43" s="43">
        <f>IF(OR(B43="",X43=0),"-",IF(OR(Y43="G",Y43="D"),IF(Y43="G","G","D"),COUNTIF($X$6:$X$45,"&gt;"&amp;X43)+1))</f>
        <v/>
      </c>
    </row>
    <row r="44">
      <c r="A44" s="29" t="n">
        <v>39</v>
      </c>
      <c r="B44" s="30" t="n"/>
      <c r="C44" s="30" t="n"/>
      <c r="D44" s="31" t="n"/>
      <c r="E44" s="32" t="n"/>
      <c r="F44" s="33" t="n"/>
      <c r="G44" s="33" t="n"/>
      <c r="H44" s="33" t="n"/>
      <c r="I44" s="34">
        <f>IF(OR(J44="G",J44="D"),0,IF(AND(F44="",G44=""),0,MAX(0,IFERROR(F44+0,0)+IFERROR(G44+0,0)-IFERROR(H44+0,0))))</f>
        <v/>
      </c>
      <c r="J44" s="35" t="n"/>
      <c r="K44" s="33" t="n"/>
      <c r="L44" s="33" t="n"/>
      <c r="M44" s="33" t="n"/>
      <c r="N44" s="34">
        <f>IF(OR(O44="G",O44="D"),0,IF(AND(K44="",L44=""),0,MAX(0,IFERROR(K44+0,0)+IFERROR(L44+0,0)-IFERROR(M44+0,0))))</f>
        <v/>
      </c>
      <c r="O44" s="35" t="n"/>
      <c r="P44" s="33" t="n"/>
      <c r="Q44" s="33" t="n"/>
      <c r="R44" s="33" t="n"/>
      <c r="S44" s="34">
        <f>IF(OR(T44="G",T44="D"),0,IF(AND(P44="",Q44=""),0,MAX(0,IFERROR(P44+0,0)+IFERROR(Q44+0,0)-IFERROR(R44+0,0))))</f>
        <v/>
      </c>
      <c r="T44" s="35" t="n"/>
      <c r="U44" s="33" t="n"/>
      <c r="V44" s="33" t="n"/>
      <c r="W44" s="33" t="n"/>
      <c r="X44" s="34">
        <f>IF(OR(Y44="G",Y44="D"),0,IF(AND(U44="",V44=""),0,MAX(0,IFERROR(U44+0,0)+IFERROR(V44+0,0)-IFERROR(W44+0,0))))</f>
        <v/>
      </c>
      <c r="Y44" s="35" t="n"/>
      <c r="Z44" s="36">
        <f>IF(B44="","",IF(OR(J44="G",J44="D"),0,I44)+IF(OR(O44="G",O44="D"),0,N44)+IF(OR(T44="G",T44="D"),0,S44)+IF(OR(Y44="G",Y44="D"),0,X44))</f>
        <v/>
      </c>
      <c r="AA44" s="37">
        <f>IF(OR(B44="",Z44=0),"-",RANK.EQ(Z44,$Z$6:$Z$45,0))</f>
        <v/>
      </c>
      <c r="AB44" s="35">
        <f>IF(OR(B44="",I44=0),"-",IF(OR(J44="G",J44="D"),IF(J44="G","G","D"),COUNTIF($I$6:$I$45,"&gt;"&amp;I44)+1))</f>
        <v/>
      </c>
      <c r="AC44" s="35">
        <f>IF(OR(B44="",N44=0),"-",IF(OR(O44="G",O44="D"),IF(O44="G","G","D"),COUNTIF($N$6:$N$45,"&gt;"&amp;N44)+1))</f>
        <v/>
      </c>
      <c r="AD44" s="35">
        <f>IF(OR(B44="",S44=0),"-",IF(OR(T44="G",T44="D"),IF(T44="G","G","D"),COUNTIF($S$6:$S$45,"&gt;"&amp;S44)+1))</f>
        <v/>
      </c>
      <c r="AE44" s="35">
        <f>IF(OR(B44="",X44=0),"-",IF(OR(Y44="G",Y44="D"),IF(Y44="G","G","D"),COUNTIF($X$6:$X$45,"&gt;"&amp;X44)+1))</f>
        <v/>
      </c>
    </row>
    <row r="45">
      <c r="A45" s="38" t="n">
        <v>40</v>
      </c>
      <c r="B45" s="39" t="n"/>
      <c r="C45" s="39" t="n"/>
      <c r="D45" s="40" t="n"/>
      <c r="E45" s="41" t="n"/>
      <c r="F45" s="42" t="n"/>
      <c r="G45" s="42" t="n"/>
      <c r="H45" s="42" t="n"/>
      <c r="I45" s="34">
        <f>IF(OR(J45="G",J45="D"),0,IF(AND(F45="",G45=""),0,MAX(0,IFERROR(F45+0,0)+IFERROR(G45+0,0)-IFERROR(H45+0,0))))</f>
        <v/>
      </c>
      <c r="J45" s="43" t="n"/>
      <c r="K45" s="42" t="n"/>
      <c r="L45" s="42" t="n"/>
      <c r="M45" s="42" t="n"/>
      <c r="N45" s="34">
        <f>IF(OR(O45="G",O45="D"),0,IF(AND(K45="",L45=""),0,MAX(0,IFERROR(K45+0,0)+IFERROR(L45+0,0)-IFERROR(M45+0,0))))</f>
        <v/>
      </c>
      <c r="O45" s="43" t="n"/>
      <c r="P45" s="42" t="n"/>
      <c r="Q45" s="42" t="n"/>
      <c r="R45" s="42" t="n"/>
      <c r="S45" s="34">
        <f>IF(OR(T45="G",T45="D"),0,IF(AND(P45="",Q45=""),0,MAX(0,IFERROR(P45+0,0)+IFERROR(Q45+0,0)-IFERROR(R45+0,0))))</f>
        <v/>
      </c>
      <c r="T45" s="43" t="n"/>
      <c r="U45" s="42" t="n"/>
      <c r="V45" s="42" t="n"/>
      <c r="W45" s="42" t="n"/>
      <c r="X45" s="34">
        <f>IF(OR(Y45="G",Y45="D"),0,IF(AND(U45="",V45=""),0,MAX(0,IFERROR(U45+0,0)+IFERROR(V45+0,0)-IFERROR(W45+0,0))))</f>
        <v/>
      </c>
      <c r="Y45" s="43" t="n"/>
      <c r="Z45" s="36">
        <f>IF(B45="","",IF(OR(J45="G",J45="D"),0,I45)+IF(OR(O45="G",O45="D"),0,N45)+IF(OR(T45="G",T45="D"),0,S45)+IF(OR(Y45="G",Y45="D"),0,X45))</f>
        <v/>
      </c>
      <c r="AA45" s="37">
        <f>IF(OR(B45="",Z45=0),"-",RANK.EQ(Z45,$Z$6:$Z$45,0))</f>
        <v/>
      </c>
      <c r="AB45" s="43">
        <f>IF(OR(B45="",I45=0),"-",IF(OR(J45="G",J45="D"),IF(J45="G","G","D"),COUNTIF($I$6:$I$45,"&gt;"&amp;I45)+1))</f>
        <v/>
      </c>
      <c r="AC45" s="43">
        <f>IF(OR(B45="",N45=0),"-",IF(OR(O45="G",O45="D"),IF(O45="G","G","D"),COUNTIF($N$6:$N$45,"&gt;"&amp;N45)+1))</f>
        <v/>
      </c>
      <c r="AD45" s="43">
        <f>IF(OR(B45="",S45=0),"-",IF(OR(T45="G",T45="D"),IF(T45="G","G","D"),COUNTIF($S$6:$S$45,"&gt;"&amp;S45)+1))</f>
        <v/>
      </c>
      <c r="AE45" s="43">
        <f>IF(OR(B45="",X45=0),"-",IF(OR(Y45="G",Y45="D"),IF(Y45="G","G","D"),COUNTIF($X$6:$X$45,"&gt;"&amp;X45)+1))</f>
        <v/>
      </c>
    </row>
    <row r="47">
      <c r="A47" s="44">
        <f>COUNTA(B6:B45)&amp;" sporcu kayıtlı"</f>
        <v/>
      </c>
    </row>
  </sheetData>
  <mergeCells count="9">
    <mergeCell ref="K3:O3"/>
    <mergeCell ref="F3:J3"/>
    <mergeCell ref="A2:AE2"/>
    <mergeCell ref="P3:T3"/>
    <mergeCell ref="AB3:AE3"/>
    <mergeCell ref="U3:Y3"/>
    <mergeCell ref="A1:AE1"/>
    <mergeCell ref="A5:AE5"/>
    <mergeCell ref="A47:E47"/>
  </mergeCells>
  <conditionalFormatting sqref="AA6:AA45">
    <cfRule type="cellIs" priority="1" operator="equal" dxfId="0">
      <formula>1</formula>
    </cfRule>
    <cfRule type="cellIs" priority="2" operator="equal" dxfId="1">
      <formula>2</formula>
    </cfRule>
    <cfRule type="cellIs" priority="3" operator="equal" dxfId="2">
      <formula>3</formula>
    </cfRule>
  </conditionalFormatting>
  <conditionalFormatting sqref="J6:J45">
    <cfRule type="cellIs" priority="4" operator="equal" dxfId="3">
      <formula>"G"</formula>
    </cfRule>
    <cfRule type="cellIs" priority="5" operator="equal" dxfId="4">
      <formula>"D"</formula>
    </cfRule>
  </conditionalFormatting>
  <conditionalFormatting sqref="O6:O45">
    <cfRule type="cellIs" priority="6" operator="equal" dxfId="3">
      <formula>"G"</formula>
    </cfRule>
    <cfRule type="cellIs" priority="7" operator="equal" dxfId="4">
      <formula>"D"</formula>
    </cfRule>
  </conditionalFormatting>
  <conditionalFormatting sqref="T6:T45">
    <cfRule type="cellIs" priority="8" operator="equal" dxfId="3">
      <formula>"G"</formula>
    </cfRule>
    <cfRule type="cellIs" priority="9" operator="equal" dxfId="4">
      <formula>"D"</formula>
    </cfRule>
  </conditionalFormatting>
  <conditionalFormatting sqref="Y6:Y45">
    <cfRule type="cellIs" priority="10" operator="equal" dxfId="3">
      <formula>"G"</formula>
    </cfRule>
    <cfRule type="cellIs" priority="11" operator="equal" dxfId="4">
      <formula>"D"</formula>
    </cfRule>
  </conditionalFormatting>
  <dataValidations count="2">
    <dataValidation sqref="E6 E7 E8 E9 E10 E11 E12 E13 E14 E15 E16 E17 E18 E19 E20 E21 E22 E23 E24 E25 E26 E27 E28 E29 E30 E31 E32 E33 E34 E35 E36 E37 E38 E39 E40 E41 E42 E43 E44 E45" showDropDown="0" showInputMessage="0" showErrorMessage="0" allowBlank="1" type="list">
      <formula1>"Bireysel,Takım"</formula1>
    </dataValidation>
    <dataValidation sqref="J6 J7 J8 J9 J10 J11 J12 J13 J14 J15 J16 J17 J18 J19 J20 J21 J22 J23 J24 J25 J26 J27 J28 J29 J30 J31 J32 J33 J34 J35 J36 J37 J38 J39 J40 J41 J42 J43 J44 J45 O6 O7 O8 O9 O10 O11 O12 O13 O14 O15 O16 O17 O18 O19 O20 O21 O22 O23 O24 O25 O26 O27 O28 O29 O30 O31 O32 O33 O34 O35 O36 O37 O38 O39 O40 O41 O42 O43 O44 O45 T6 T7 T8 T9 T10 T11 T12 T13 T14 T15 T16 T17 T18 T19 T20 T21 T22 T23 T24 T25 T26 T27 T28 T29 T30 T31 T32 T33 T34 T35 T36 T37 T38 T39 T40 T41 T42 T43 T44 T45 Y6 Y7 Y8 Y9 Y10 Y11 Y12 Y13 Y14 Y15 Y16 Y17 Y18 Y19 Y20 Y21 Y22 Y23 Y24 Y25 Y26 Y27 Y28 Y29 Y30 Y31 Y32 Y33 Y34 Y35 Y36 Y37 Y38 Y39 Y40 Y41 Y42 Y43 Y44 Y45" showDropDown="0" showInputMessage="0" showErrorMessage="0" allowBlank="1" type="list">
      <formula1>"N,G,D"</formula1>
    </dataValidation>
  </dataValidations>
  <pageMargins left="0.4" right="0.4" top="0.5" bottom="0.5" header="0.5" footer="0.5"/>
  <pageSetup orientation="landscape" fitToWidth="1"/>
</worksheet>
</file>

<file path=xl/worksheets/sheet10.xml><?xml version="1.0" encoding="utf-8"?>
<worksheet xmlns="http://schemas.openxmlformats.org/spreadsheetml/2006/main">
  <sheetPr>
    <outlinePr summaryBelow="1" summaryRight="1"/>
    <pageSetUpPr fitToPage="1"/>
  </sheetPr>
  <dimension ref="A1:AQ4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4" customWidth="1" min="3" max="3"/>
    <col width="26" customWidth="1" min="4" max="4"/>
    <col width="10" customWidth="1" min="5" max="5"/>
    <col width="6.5" customWidth="1" min="6" max="6"/>
    <col width="6.5" customWidth="1" min="7" max="7"/>
    <col width="6.5" customWidth="1" min="8" max="8"/>
    <col width="9" customWidth="1" min="9" max="9"/>
    <col width="6" customWidth="1" min="10" max="10"/>
    <col width="6.5" customWidth="1" min="11" max="11"/>
    <col width="6.5" customWidth="1" min="12" max="12"/>
    <col width="6.5" customWidth="1" min="13" max="13"/>
    <col width="9" customWidth="1" min="14" max="14"/>
    <col width="6" customWidth="1" min="15" max="15"/>
    <col width="6.5" customWidth="1" min="16" max="16"/>
    <col width="6.5" customWidth="1" min="17" max="17"/>
    <col width="6.5" customWidth="1" min="18" max="18"/>
    <col width="9" customWidth="1" min="19" max="19"/>
    <col width="6" customWidth="1" min="20" max="20"/>
    <col width="6.5" customWidth="1" min="21" max="21"/>
    <col width="6.5" customWidth="1" min="22" max="22"/>
    <col width="6.5" customWidth="1" min="23" max="23"/>
    <col width="9" customWidth="1" min="24" max="24"/>
    <col width="6" customWidth="1" min="25" max="25"/>
    <col width="6.5" customWidth="1" min="26" max="26"/>
    <col width="6.5" customWidth="1" min="27" max="27"/>
    <col width="6.5" customWidth="1" min="28" max="28"/>
    <col width="9" customWidth="1" min="29" max="29"/>
    <col width="6" customWidth="1" min="30" max="30"/>
    <col width="6.5" customWidth="1" min="31" max="31"/>
    <col width="6.5" customWidth="1" min="32" max="32"/>
    <col width="6.5" customWidth="1" min="33" max="33"/>
    <col width="9" customWidth="1" min="34" max="34"/>
    <col width="6" customWidth="1" min="35" max="35"/>
    <col width="11" customWidth="1" min="36" max="36"/>
    <col width="9" customWidth="1" min="37" max="37"/>
    <col width="7" customWidth="1" min="38" max="38"/>
    <col width="7" customWidth="1" min="39" max="39"/>
    <col width="7" customWidth="1" min="40" max="40"/>
    <col width="7" customWidth="1" min="41" max="41"/>
    <col width="7" customWidth="1" min="42" max="42"/>
    <col width="7" customWidth="1" min="43" max="43"/>
  </cols>
  <sheetData>
    <row r="1" ht="32" customHeight="1">
      <c r="A1" s="45" t="inlineStr">
        <is>
          <t>YILDIZ ERKEKLER</t>
        </is>
      </c>
    </row>
    <row r="2" ht="15" customHeight="1">
      <c r="A2" s="23">
        <f>'YARIŞMA BİLGİLERİ'!C3&amp;"  —  "&amp;'YARIŞMA BİLGİLERİ'!C4&amp;"  |  "&amp;'YARIŞMA BİLGİLERİ'!C5</f>
        <v/>
      </c>
    </row>
    <row r="3" ht="22" customHeight="1">
      <c r="A3" s="46" t="n"/>
      <c r="B3" s="46" t="n"/>
      <c r="C3" s="46" t="n"/>
      <c r="D3" s="46" t="n"/>
      <c r="E3" s="46" t="n"/>
      <c r="F3" s="47" t="inlineStr">
        <is>
          <t>YER (FX)</t>
        </is>
      </c>
      <c r="G3" s="46" t="n"/>
      <c r="H3" s="46" t="n"/>
      <c r="I3" s="46" t="n"/>
      <c r="J3" s="46" t="n"/>
      <c r="K3" s="47" t="inlineStr">
        <is>
          <t>KULPLU BEYGIR (PH)</t>
        </is>
      </c>
      <c r="L3" s="46" t="n"/>
      <c r="M3" s="46" t="n"/>
      <c r="N3" s="46" t="n"/>
      <c r="O3" s="46" t="n"/>
      <c r="P3" s="47" t="inlineStr">
        <is>
          <t>HALKA (SR)</t>
        </is>
      </c>
      <c r="Q3" s="46" t="n"/>
      <c r="R3" s="46" t="n"/>
      <c r="S3" s="46" t="n"/>
      <c r="T3" s="46" t="n"/>
      <c r="U3" s="47" t="inlineStr">
        <is>
          <t>ATLAMA (VT)</t>
        </is>
      </c>
      <c r="V3" s="46" t="n"/>
      <c r="W3" s="46" t="n"/>
      <c r="X3" s="46" t="n"/>
      <c r="Y3" s="46" t="n"/>
      <c r="Z3" s="47" t="inlineStr">
        <is>
          <t>PARALEL (PB)</t>
        </is>
      </c>
      <c r="AA3" s="46" t="n"/>
      <c r="AB3" s="46" t="n"/>
      <c r="AC3" s="46" t="n"/>
      <c r="AD3" s="46" t="n"/>
      <c r="AE3" s="47" t="inlineStr">
        <is>
          <t>BARFIKS (HB)</t>
        </is>
      </c>
      <c r="AF3" s="46" t="n"/>
      <c r="AG3" s="46" t="n"/>
      <c r="AH3" s="46" t="n"/>
      <c r="AI3" s="46" t="n"/>
      <c r="AJ3" s="46" t="n"/>
      <c r="AK3" s="46" t="n"/>
      <c r="AL3" s="48" t="inlineStr">
        <is>
          <t>ALET SIRALARI  (Eleme Seçimi için)</t>
        </is>
      </c>
      <c r="AM3" s="46" t="n"/>
      <c r="AN3" s="46" t="n"/>
      <c r="AO3" s="46" t="n"/>
      <c r="AP3" s="46" t="n"/>
      <c r="AQ3" s="46" t="n"/>
    </row>
    <row r="4" ht="30" customHeight="1">
      <c r="A4" s="27" t="inlineStr">
        <is>
          <t>No</t>
        </is>
      </c>
      <c r="B4" s="27" t="inlineStr">
        <is>
          <t>Ad</t>
        </is>
      </c>
      <c r="C4" s="27" t="inlineStr">
        <is>
          <t>Soyad</t>
        </is>
      </c>
      <c r="D4" s="27" t="inlineStr">
        <is>
          <t>Okul / Kulüp</t>
        </is>
      </c>
      <c r="E4" s="27" t="inlineStr">
        <is>
          <t>Tür</t>
        </is>
      </c>
      <c r="F4" s="27" t="inlineStr">
        <is>
          <t>D</t>
        </is>
      </c>
      <c r="G4" s="27" t="inlineStr">
        <is>
          <t>E</t>
        </is>
      </c>
      <c r="H4" s="27" t="inlineStr">
        <is>
          <t>ND</t>
        </is>
      </c>
      <c r="I4" s="27" t="inlineStr">
        <is>
          <t>Final</t>
        </is>
      </c>
      <c r="J4" s="27" t="inlineStr">
        <is>
          <t>Dur</t>
        </is>
      </c>
      <c r="K4" s="27" t="inlineStr">
        <is>
          <t>D</t>
        </is>
      </c>
      <c r="L4" s="27" t="inlineStr">
        <is>
          <t>E</t>
        </is>
      </c>
      <c r="M4" s="27" t="inlineStr">
        <is>
          <t>ND</t>
        </is>
      </c>
      <c r="N4" s="27" t="inlineStr">
        <is>
          <t>Final</t>
        </is>
      </c>
      <c r="O4" s="27" t="inlineStr">
        <is>
          <t>Dur</t>
        </is>
      </c>
      <c r="P4" s="27" t="inlineStr">
        <is>
          <t>D</t>
        </is>
      </c>
      <c r="Q4" s="27" t="inlineStr">
        <is>
          <t>E</t>
        </is>
      </c>
      <c r="R4" s="27" t="inlineStr">
        <is>
          <t>ND</t>
        </is>
      </c>
      <c r="S4" s="27" t="inlineStr">
        <is>
          <t>Final</t>
        </is>
      </c>
      <c r="T4" s="27" t="inlineStr">
        <is>
          <t>Dur</t>
        </is>
      </c>
      <c r="U4" s="27" t="inlineStr">
        <is>
          <t>D</t>
        </is>
      </c>
      <c r="V4" s="27" t="inlineStr">
        <is>
          <t>E</t>
        </is>
      </c>
      <c r="W4" s="27" t="inlineStr">
        <is>
          <t>ND</t>
        </is>
      </c>
      <c r="X4" s="27" t="inlineStr">
        <is>
          <t>Final</t>
        </is>
      </c>
      <c r="Y4" s="27" t="inlineStr">
        <is>
          <t>Dur</t>
        </is>
      </c>
      <c r="Z4" s="27" t="inlineStr">
        <is>
          <t>D</t>
        </is>
      </c>
      <c r="AA4" s="27" t="inlineStr">
        <is>
          <t>E</t>
        </is>
      </c>
      <c r="AB4" s="27" t="inlineStr">
        <is>
          <t>ND</t>
        </is>
      </c>
      <c r="AC4" s="27" t="inlineStr">
        <is>
          <t>Final</t>
        </is>
      </c>
      <c r="AD4" s="27" t="inlineStr">
        <is>
          <t>Dur</t>
        </is>
      </c>
      <c r="AE4" s="27" t="inlineStr">
        <is>
          <t>D</t>
        </is>
      </c>
      <c r="AF4" s="27" t="inlineStr">
        <is>
          <t>E</t>
        </is>
      </c>
      <c r="AG4" s="27" t="inlineStr">
        <is>
          <t>ND</t>
        </is>
      </c>
      <c r="AH4" s="27" t="inlineStr">
        <is>
          <t>Final</t>
        </is>
      </c>
      <c r="AI4" s="27" t="inlineStr">
        <is>
          <t>Dur</t>
        </is>
      </c>
      <c r="AJ4" s="27" t="inlineStr">
        <is>
          <t>TOPLAM</t>
        </is>
      </c>
      <c r="AK4" s="27" t="inlineStr">
        <is>
          <t>SIRALAMA</t>
        </is>
      </c>
      <c r="AL4" s="27" t="inlineStr">
        <is>
          <t>FX</t>
        </is>
      </c>
      <c r="AM4" s="27" t="inlineStr">
        <is>
          <t>PH</t>
        </is>
      </c>
      <c r="AN4" s="27" t="inlineStr">
        <is>
          <t>SR</t>
        </is>
      </c>
      <c r="AO4" s="27" t="inlineStr">
        <is>
          <t>VT</t>
        </is>
      </c>
      <c r="AP4" s="27" t="inlineStr">
        <is>
          <t>PB</t>
        </is>
      </c>
      <c r="AQ4" s="27" t="inlineStr">
        <is>
          <t>HB</t>
        </is>
      </c>
    </row>
    <row r="5" ht="13" customHeight="1">
      <c r="A5" s="28" t="inlineStr">
        <is>
          <t>Final = MAX(0, D+E−ND)  |  Dur: N=Normal · G=Gecersiz · D=Yarışmadı/DNS  |  Mavi sütun = formül (elle girme)  |  Yeşil = Toplam  |  Sarı = Sıralama</t>
        </is>
      </c>
    </row>
    <row r="6">
      <c r="A6" s="29" t="n">
        <v>1</v>
      </c>
      <c r="B6" s="30" t="n"/>
      <c r="C6" s="30" t="n"/>
      <c r="D6" s="31" t="n"/>
      <c r="E6" s="32" t="n"/>
      <c r="F6" s="33" t="n"/>
      <c r="G6" s="33" t="n"/>
      <c r="H6" s="33" t="n"/>
      <c r="I6" s="34">
        <f>IF(OR(J6="G",J6="D"),0,IF(AND(F6="",G6=""),0,MAX(0,IFERROR(F6+0,0)+IFERROR(G6+0,0)-IFERROR(H6+0,0))))</f>
        <v/>
      </c>
      <c r="J6" s="35" t="n"/>
      <c r="K6" s="33" t="n"/>
      <c r="L6" s="33" t="n"/>
      <c r="M6" s="33" t="n"/>
      <c r="N6" s="34">
        <f>IF(OR(O6="G",O6="D"),0,IF(AND(K6="",L6=""),0,MAX(0,IFERROR(K6+0,0)+IFERROR(L6+0,0)-IFERROR(M6+0,0))))</f>
        <v/>
      </c>
      <c r="O6" s="35" t="n"/>
      <c r="P6" s="33" t="n"/>
      <c r="Q6" s="33" t="n"/>
      <c r="R6" s="33" t="n"/>
      <c r="S6" s="34">
        <f>IF(OR(T6="G",T6="D"),0,IF(AND(P6="",Q6=""),0,MAX(0,IFERROR(P6+0,0)+IFERROR(Q6+0,0)-IFERROR(R6+0,0))))</f>
        <v/>
      </c>
      <c r="T6" s="35" t="n"/>
      <c r="U6" s="33" t="n"/>
      <c r="V6" s="33" t="n"/>
      <c r="W6" s="33" t="n"/>
      <c r="X6" s="34">
        <f>IF(OR(Y6="G",Y6="D"),0,IF(AND(U6="",V6=""),0,MAX(0,IFERROR(U6+0,0)+IFERROR(V6+0,0)-IFERROR(W6+0,0))))</f>
        <v/>
      </c>
      <c r="Y6" s="35" t="n"/>
      <c r="Z6" s="33" t="n"/>
      <c r="AA6" s="33" t="n"/>
      <c r="AB6" s="33" t="n"/>
      <c r="AC6" s="34">
        <f>IF(OR(AD6="G",AD6="D"),0,IF(AND(Z6="",AA6=""),0,MAX(0,IFERROR(Z6+0,0)+IFERROR(AA6+0,0)-IFERROR(AB6+0,0))))</f>
        <v/>
      </c>
      <c r="AD6" s="35" t="n"/>
      <c r="AE6" s="33" t="n"/>
      <c r="AF6" s="33" t="n"/>
      <c r="AG6" s="33" t="n"/>
      <c r="AH6" s="34">
        <f>IF(OR(AI6="G",AI6="D"),0,IF(AND(AE6="",AF6=""),0,MAX(0,IFERROR(AE6+0,0)+IFERROR(AF6+0,0)-IFERROR(AG6+0,0))))</f>
        <v/>
      </c>
      <c r="AI6" s="35" t="n"/>
      <c r="AJ6" s="36">
        <f>IF(B6="","",IF(OR(J6="G",J6="D"),0,I6)+IF(OR(O6="G",O6="D"),0,N6)+IF(OR(T6="G",T6="D"),0,S6)+IF(OR(Y6="G",Y6="D"),0,X6)+IF(OR(AD6="G",AD6="D"),0,AC6)+IF(OR(AI6="G",AI6="D"),0,AH6))</f>
        <v/>
      </c>
      <c r="AK6" s="37">
        <f>IF(OR(B6="",AJ6=0),"-",RANK.EQ(AJ6,$AJ$6:$AJ$45,0))</f>
        <v/>
      </c>
      <c r="AL6" s="35">
        <f>IF(OR(B6="",I6=0),"-",IF(OR(J6="G",J6="D"),IF(J6="G","G","D"),COUNTIF($I$6:$I$45,"&gt;"&amp;I6)+1))</f>
        <v/>
      </c>
      <c r="AM6" s="35">
        <f>IF(OR(B6="",N6=0),"-",IF(OR(O6="G",O6="D"),IF(O6="G","G","D"),COUNTIF($N$6:$N$45,"&gt;"&amp;N6)+1))</f>
        <v/>
      </c>
      <c r="AN6" s="35">
        <f>IF(OR(B6="",S6=0),"-",IF(OR(T6="G",T6="D"),IF(T6="G","G","D"),COUNTIF($S$6:$S$45,"&gt;"&amp;S6)+1))</f>
        <v/>
      </c>
      <c r="AO6" s="35">
        <f>IF(OR(B6="",X6=0),"-",IF(OR(Y6="G",Y6="D"),IF(Y6="G","G","D"),COUNTIF($X$6:$X$45,"&gt;"&amp;X6)+1))</f>
        <v/>
      </c>
      <c r="AP6" s="35">
        <f>IF(OR(B6="",AC6=0),"-",IF(OR(AD6="G",AD6="D"),IF(AD6="G","G","D"),COUNTIF($AC$6:$AC$45,"&gt;"&amp;AC6)+1))</f>
        <v/>
      </c>
      <c r="AQ6" s="35">
        <f>IF(OR(B6="",AH6=0),"-",IF(OR(AI6="G",AI6="D"),IF(AI6="G","G","D"),COUNTIF($AH$6:$AH$45,"&gt;"&amp;AH6)+1))</f>
        <v/>
      </c>
    </row>
    <row r="7">
      <c r="A7" s="38" t="n">
        <v>2</v>
      </c>
      <c r="B7" s="39" t="n"/>
      <c r="C7" s="39" t="n"/>
      <c r="D7" s="40" t="n"/>
      <c r="E7" s="41" t="n"/>
      <c r="F7" s="42" t="n"/>
      <c r="G7" s="42" t="n"/>
      <c r="H7" s="42" t="n"/>
      <c r="I7" s="34">
        <f>IF(OR(J7="G",J7="D"),0,IF(AND(F7="",G7=""),0,MAX(0,IFERROR(F7+0,0)+IFERROR(G7+0,0)-IFERROR(H7+0,0))))</f>
        <v/>
      </c>
      <c r="J7" s="43" t="n"/>
      <c r="K7" s="42" t="n"/>
      <c r="L7" s="42" t="n"/>
      <c r="M7" s="42" t="n"/>
      <c r="N7" s="34">
        <f>IF(OR(O7="G",O7="D"),0,IF(AND(K7="",L7=""),0,MAX(0,IFERROR(K7+0,0)+IFERROR(L7+0,0)-IFERROR(M7+0,0))))</f>
        <v/>
      </c>
      <c r="O7" s="43" t="n"/>
      <c r="P7" s="42" t="n"/>
      <c r="Q7" s="42" t="n"/>
      <c r="R7" s="42" t="n"/>
      <c r="S7" s="34">
        <f>IF(OR(T7="G",T7="D"),0,IF(AND(P7="",Q7=""),0,MAX(0,IFERROR(P7+0,0)+IFERROR(Q7+0,0)-IFERROR(R7+0,0))))</f>
        <v/>
      </c>
      <c r="T7" s="43" t="n"/>
      <c r="U7" s="42" t="n"/>
      <c r="V7" s="42" t="n"/>
      <c r="W7" s="42" t="n"/>
      <c r="X7" s="34">
        <f>IF(OR(Y7="G",Y7="D"),0,IF(AND(U7="",V7=""),0,MAX(0,IFERROR(U7+0,0)+IFERROR(V7+0,0)-IFERROR(W7+0,0))))</f>
        <v/>
      </c>
      <c r="Y7" s="43" t="n"/>
      <c r="Z7" s="42" t="n"/>
      <c r="AA7" s="42" t="n"/>
      <c r="AB7" s="42" t="n"/>
      <c r="AC7" s="34">
        <f>IF(OR(AD7="G",AD7="D"),0,IF(AND(Z7="",AA7=""),0,MAX(0,IFERROR(Z7+0,0)+IFERROR(AA7+0,0)-IFERROR(AB7+0,0))))</f>
        <v/>
      </c>
      <c r="AD7" s="43" t="n"/>
      <c r="AE7" s="42" t="n"/>
      <c r="AF7" s="42" t="n"/>
      <c r="AG7" s="42" t="n"/>
      <c r="AH7" s="34">
        <f>IF(OR(AI7="G",AI7="D"),0,IF(AND(AE7="",AF7=""),0,MAX(0,IFERROR(AE7+0,0)+IFERROR(AF7+0,0)-IFERROR(AG7+0,0))))</f>
        <v/>
      </c>
      <c r="AI7" s="43" t="n"/>
      <c r="AJ7" s="36">
        <f>IF(B7="","",IF(OR(J7="G",J7="D"),0,I7)+IF(OR(O7="G",O7="D"),0,N7)+IF(OR(T7="G",T7="D"),0,S7)+IF(OR(Y7="G",Y7="D"),0,X7)+IF(OR(AD7="G",AD7="D"),0,AC7)+IF(OR(AI7="G",AI7="D"),0,AH7))</f>
        <v/>
      </c>
      <c r="AK7" s="37">
        <f>IF(OR(B7="",AJ7=0),"-",RANK.EQ(AJ7,$AJ$6:$AJ$45,0))</f>
        <v/>
      </c>
      <c r="AL7" s="43">
        <f>IF(OR(B7="",I7=0),"-",IF(OR(J7="G",J7="D"),IF(J7="G","G","D"),COUNTIF($I$6:$I$45,"&gt;"&amp;I7)+1))</f>
        <v/>
      </c>
      <c r="AM7" s="43">
        <f>IF(OR(B7="",N7=0),"-",IF(OR(O7="G",O7="D"),IF(O7="G","G","D"),COUNTIF($N$6:$N$45,"&gt;"&amp;N7)+1))</f>
        <v/>
      </c>
      <c r="AN7" s="43">
        <f>IF(OR(B7="",S7=0),"-",IF(OR(T7="G",T7="D"),IF(T7="G","G","D"),COUNTIF($S$6:$S$45,"&gt;"&amp;S7)+1))</f>
        <v/>
      </c>
      <c r="AO7" s="43">
        <f>IF(OR(B7="",X7=0),"-",IF(OR(Y7="G",Y7="D"),IF(Y7="G","G","D"),COUNTIF($X$6:$X$45,"&gt;"&amp;X7)+1))</f>
        <v/>
      </c>
      <c r="AP7" s="43">
        <f>IF(OR(B7="",AC7=0),"-",IF(OR(AD7="G",AD7="D"),IF(AD7="G","G","D"),COUNTIF($AC$6:$AC$45,"&gt;"&amp;AC7)+1))</f>
        <v/>
      </c>
      <c r="AQ7" s="43">
        <f>IF(OR(B7="",AH7=0),"-",IF(OR(AI7="G",AI7="D"),IF(AI7="G","G","D"),COUNTIF($AH$6:$AH$45,"&gt;"&amp;AH7)+1))</f>
        <v/>
      </c>
    </row>
    <row r="8">
      <c r="A8" s="29" t="n">
        <v>3</v>
      </c>
      <c r="B8" s="30" t="n"/>
      <c r="C8" s="30" t="n"/>
      <c r="D8" s="31" t="n"/>
      <c r="E8" s="32" t="n"/>
      <c r="F8" s="33" t="n"/>
      <c r="G8" s="33" t="n"/>
      <c r="H8" s="33" t="n"/>
      <c r="I8" s="34">
        <f>IF(OR(J8="G",J8="D"),0,IF(AND(F8="",G8=""),0,MAX(0,IFERROR(F8+0,0)+IFERROR(G8+0,0)-IFERROR(H8+0,0))))</f>
        <v/>
      </c>
      <c r="J8" s="35" t="n"/>
      <c r="K8" s="33" t="n"/>
      <c r="L8" s="33" t="n"/>
      <c r="M8" s="33" t="n"/>
      <c r="N8" s="34">
        <f>IF(OR(O8="G",O8="D"),0,IF(AND(K8="",L8=""),0,MAX(0,IFERROR(K8+0,0)+IFERROR(L8+0,0)-IFERROR(M8+0,0))))</f>
        <v/>
      </c>
      <c r="O8" s="35" t="n"/>
      <c r="P8" s="33" t="n"/>
      <c r="Q8" s="33" t="n"/>
      <c r="R8" s="33" t="n"/>
      <c r="S8" s="34">
        <f>IF(OR(T8="G",T8="D"),0,IF(AND(P8="",Q8=""),0,MAX(0,IFERROR(P8+0,0)+IFERROR(Q8+0,0)-IFERROR(R8+0,0))))</f>
        <v/>
      </c>
      <c r="T8" s="35" t="n"/>
      <c r="U8" s="33" t="n"/>
      <c r="V8" s="33" t="n"/>
      <c r="W8" s="33" t="n"/>
      <c r="X8" s="34">
        <f>IF(OR(Y8="G",Y8="D"),0,IF(AND(U8="",V8=""),0,MAX(0,IFERROR(U8+0,0)+IFERROR(V8+0,0)-IFERROR(W8+0,0))))</f>
        <v/>
      </c>
      <c r="Y8" s="35" t="n"/>
      <c r="Z8" s="33" t="n"/>
      <c r="AA8" s="33" t="n"/>
      <c r="AB8" s="33" t="n"/>
      <c r="AC8" s="34">
        <f>IF(OR(AD8="G",AD8="D"),0,IF(AND(Z8="",AA8=""),0,MAX(0,IFERROR(Z8+0,0)+IFERROR(AA8+0,0)-IFERROR(AB8+0,0))))</f>
        <v/>
      </c>
      <c r="AD8" s="35" t="n"/>
      <c r="AE8" s="33" t="n"/>
      <c r="AF8" s="33" t="n"/>
      <c r="AG8" s="33" t="n"/>
      <c r="AH8" s="34">
        <f>IF(OR(AI8="G",AI8="D"),0,IF(AND(AE8="",AF8=""),0,MAX(0,IFERROR(AE8+0,0)+IFERROR(AF8+0,0)-IFERROR(AG8+0,0))))</f>
        <v/>
      </c>
      <c r="AI8" s="35" t="n"/>
      <c r="AJ8" s="36">
        <f>IF(B8="","",IF(OR(J8="G",J8="D"),0,I8)+IF(OR(O8="G",O8="D"),0,N8)+IF(OR(T8="G",T8="D"),0,S8)+IF(OR(Y8="G",Y8="D"),0,X8)+IF(OR(AD8="G",AD8="D"),0,AC8)+IF(OR(AI8="G",AI8="D"),0,AH8))</f>
        <v/>
      </c>
      <c r="AK8" s="37">
        <f>IF(OR(B8="",AJ8=0),"-",RANK.EQ(AJ8,$AJ$6:$AJ$45,0))</f>
        <v/>
      </c>
      <c r="AL8" s="35">
        <f>IF(OR(B8="",I8=0),"-",IF(OR(J8="G",J8="D"),IF(J8="G","G","D"),COUNTIF($I$6:$I$45,"&gt;"&amp;I8)+1))</f>
        <v/>
      </c>
      <c r="AM8" s="35">
        <f>IF(OR(B8="",N8=0),"-",IF(OR(O8="G",O8="D"),IF(O8="G","G","D"),COUNTIF($N$6:$N$45,"&gt;"&amp;N8)+1))</f>
        <v/>
      </c>
      <c r="AN8" s="35">
        <f>IF(OR(B8="",S8=0),"-",IF(OR(T8="G",T8="D"),IF(T8="G","G","D"),COUNTIF($S$6:$S$45,"&gt;"&amp;S8)+1))</f>
        <v/>
      </c>
      <c r="AO8" s="35">
        <f>IF(OR(B8="",X8=0),"-",IF(OR(Y8="G",Y8="D"),IF(Y8="G","G","D"),COUNTIF($X$6:$X$45,"&gt;"&amp;X8)+1))</f>
        <v/>
      </c>
      <c r="AP8" s="35">
        <f>IF(OR(B8="",AC8=0),"-",IF(OR(AD8="G",AD8="D"),IF(AD8="G","G","D"),COUNTIF($AC$6:$AC$45,"&gt;"&amp;AC8)+1))</f>
        <v/>
      </c>
      <c r="AQ8" s="35">
        <f>IF(OR(B8="",AH8=0),"-",IF(OR(AI8="G",AI8="D"),IF(AI8="G","G","D"),COUNTIF($AH$6:$AH$45,"&gt;"&amp;AH8)+1))</f>
        <v/>
      </c>
    </row>
    <row r="9">
      <c r="A9" s="38" t="n">
        <v>4</v>
      </c>
      <c r="B9" s="39" t="n"/>
      <c r="C9" s="39" t="n"/>
      <c r="D9" s="40" t="n"/>
      <c r="E9" s="41" t="n"/>
      <c r="F9" s="42" t="n"/>
      <c r="G9" s="42" t="n"/>
      <c r="H9" s="42" t="n"/>
      <c r="I9" s="34">
        <f>IF(OR(J9="G",J9="D"),0,IF(AND(F9="",G9=""),0,MAX(0,IFERROR(F9+0,0)+IFERROR(G9+0,0)-IFERROR(H9+0,0))))</f>
        <v/>
      </c>
      <c r="J9" s="43" t="n"/>
      <c r="K9" s="42" t="n"/>
      <c r="L9" s="42" t="n"/>
      <c r="M9" s="42" t="n"/>
      <c r="N9" s="34">
        <f>IF(OR(O9="G",O9="D"),0,IF(AND(K9="",L9=""),0,MAX(0,IFERROR(K9+0,0)+IFERROR(L9+0,0)-IFERROR(M9+0,0))))</f>
        <v/>
      </c>
      <c r="O9" s="43" t="n"/>
      <c r="P9" s="42" t="n"/>
      <c r="Q9" s="42" t="n"/>
      <c r="R9" s="42" t="n"/>
      <c r="S9" s="34">
        <f>IF(OR(T9="G",T9="D"),0,IF(AND(P9="",Q9=""),0,MAX(0,IFERROR(P9+0,0)+IFERROR(Q9+0,0)-IFERROR(R9+0,0))))</f>
        <v/>
      </c>
      <c r="T9" s="43" t="n"/>
      <c r="U9" s="42" t="n"/>
      <c r="V9" s="42" t="n"/>
      <c r="W9" s="42" t="n"/>
      <c r="X9" s="34">
        <f>IF(OR(Y9="G",Y9="D"),0,IF(AND(U9="",V9=""),0,MAX(0,IFERROR(U9+0,0)+IFERROR(V9+0,0)-IFERROR(W9+0,0))))</f>
        <v/>
      </c>
      <c r="Y9" s="43" t="n"/>
      <c r="Z9" s="42" t="n"/>
      <c r="AA9" s="42" t="n"/>
      <c r="AB9" s="42" t="n"/>
      <c r="AC9" s="34">
        <f>IF(OR(AD9="G",AD9="D"),0,IF(AND(Z9="",AA9=""),0,MAX(0,IFERROR(Z9+0,0)+IFERROR(AA9+0,0)-IFERROR(AB9+0,0))))</f>
        <v/>
      </c>
      <c r="AD9" s="43" t="n"/>
      <c r="AE9" s="42" t="n"/>
      <c r="AF9" s="42" t="n"/>
      <c r="AG9" s="42" t="n"/>
      <c r="AH9" s="34">
        <f>IF(OR(AI9="G",AI9="D"),0,IF(AND(AE9="",AF9=""),0,MAX(0,IFERROR(AE9+0,0)+IFERROR(AF9+0,0)-IFERROR(AG9+0,0))))</f>
        <v/>
      </c>
      <c r="AI9" s="43" t="n"/>
      <c r="AJ9" s="36">
        <f>IF(B9="","",IF(OR(J9="G",J9="D"),0,I9)+IF(OR(O9="G",O9="D"),0,N9)+IF(OR(T9="G",T9="D"),0,S9)+IF(OR(Y9="G",Y9="D"),0,X9)+IF(OR(AD9="G",AD9="D"),0,AC9)+IF(OR(AI9="G",AI9="D"),0,AH9))</f>
        <v/>
      </c>
      <c r="AK9" s="37">
        <f>IF(OR(B9="",AJ9=0),"-",RANK.EQ(AJ9,$AJ$6:$AJ$45,0))</f>
        <v/>
      </c>
      <c r="AL9" s="43">
        <f>IF(OR(B9="",I9=0),"-",IF(OR(J9="G",J9="D"),IF(J9="G","G","D"),COUNTIF($I$6:$I$45,"&gt;"&amp;I9)+1))</f>
        <v/>
      </c>
      <c r="AM9" s="43">
        <f>IF(OR(B9="",N9=0),"-",IF(OR(O9="G",O9="D"),IF(O9="G","G","D"),COUNTIF($N$6:$N$45,"&gt;"&amp;N9)+1))</f>
        <v/>
      </c>
      <c r="AN9" s="43">
        <f>IF(OR(B9="",S9=0),"-",IF(OR(T9="G",T9="D"),IF(T9="G","G","D"),COUNTIF($S$6:$S$45,"&gt;"&amp;S9)+1))</f>
        <v/>
      </c>
      <c r="AO9" s="43">
        <f>IF(OR(B9="",X9=0),"-",IF(OR(Y9="G",Y9="D"),IF(Y9="G","G","D"),COUNTIF($X$6:$X$45,"&gt;"&amp;X9)+1))</f>
        <v/>
      </c>
      <c r="AP9" s="43">
        <f>IF(OR(B9="",AC9=0),"-",IF(OR(AD9="G",AD9="D"),IF(AD9="G","G","D"),COUNTIF($AC$6:$AC$45,"&gt;"&amp;AC9)+1))</f>
        <v/>
      </c>
      <c r="AQ9" s="43">
        <f>IF(OR(B9="",AH9=0),"-",IF(OR(AI9="G",AI9="D"),IF(AI9="G","G","D"),COUNTIF($AH$6:$AH$45,"&gt;"&amp;AH9)+1))</f>
        <v/>
      </c>
    </row>
    <row r="10">
      <c r="A10" s="29" t="n">
        <v>5</v>
      </c>
      <c r="B10" s="30" t="n"/>
      <c r="C10" s="30" t="n"/>
      <c r="D10" s="31" t="n"/>
      <c r="E10" s="32" t="n"/>
      <c r="F10" s="33" t="n"/>
      <c r="G10" s="33" t="n"/>
      <c r="H10" s="33" t="n"/>
      <c r="I10" s="34">
        <f>IF(OR(J10="G",J10="D"),0,IF(AND(F10="",G10=""),0,MAX(0,IFERROR(F10+0,0)+IFERROR(G10+0,0)-IFERROR(H10+0,0))))</f>
        <v/>
      </c>
      <c r="J10" s="35" t="n"/>
      <c r="K10" s="33" t="n"/>
      <c r="L10" s="33" t="n"/>
      <c r="M10" s="33" t="n"/>
      <c r="N10" s="34">
        <f>IF(OR(O10="G",O10="D"),0,IF(AND(K10="",L10=""),0,MAX(0,IFERROR(K10+0,0)+IFERROR(L10+0,0)-IFERROR(M10+0,0))))</f>
        <v/>
      </c>
      <c r="O10" s="35" t="n"/>
      <c r="P10" s="33" t="n"/>
      <c r="Q10" s="33" t="n"/>
      <c r="R10" s="33" t="n"/>
      <c r="S10" s="34">
        <f>IF(OR(T10="G",T10="D"),0,IF(AND(P10="",Q10=""),0,MAX(0,IFERROR(P10+0,0)+IFERROR(Q10+0,0)-IFERROR(R10+0,0))))</f>
        <v/>
      </c>
      <c r="T10" s="35" t="n"/>
      <c r="U10" s="33" t="n"/>
      <c r="V10" s="33" t="n"/>
      <c r="W10" s="33" t="n"/>
      <c r="X10" s="34">
        <f>IF(OR(Y10="G",Y10="D"),0,IF(AND(U10="",V10=""),0,MAX(0,IFERROR(U10+0,0)+IFERROR(V10+0,0)-IFERROR(W10+0,0))))</f>
        <v/>
      </c>
      <c r="Y10" s="35" t="n"/>
      <c r="Z10" s="33" t="n"/>
      <c r="AA10" s="33" t="n"/>
      <c r="AB10" s="33" t="n"/>
      <c r="AC10" s="34">
        <f>IF(OR(AD10="G",AD10="D"),0,IF(AND(Z10="",AA10=""),0,MAX(0,IFERROR(Z10+0,0)+IFERROR(AA10+0,0)-IFERROR(AB10+0,0))))</f>
        <v/>
      </c>
      <c r="AD10" s="35" t="n"/>
      <c r="AE10" s="33" t="n"/>
      <c r="AF10" s="33" t="n"/>
      <c r="AG10" s="33" t="n"/>
      <c r="AH10" s="34">
        <f>IF(OR(AI10="G",AI10="D"),0,IF(AND(AE10="",AF10=""),0,MAX(0,IFERROR(AE10+0,0)+IFERROR(AF10+0,0)-IFERROR(AG10+0,0))))</f>
        <v/>
      </c>
      <c r="AI10" s="35" t="n"/>
      <c r="AJ10" s="36">
        <f>IF(B10="","",IF(OR(J10="G",J10="D"),0,I10)+IF(OR(O10="G",O10="D"),0,N10)+IF(OR(T10="G",T10="D"),0,S10)+IF(OR(Y10="G",Y10="D"),0,X10)+IF(OR(AD10="G",AD10="D"),0,AC10)+IF(OR(AI10="G",AI10="D"),0,AH10))</f>
        <v/>
      </c>
      <c r="AK10" s="37">
        <f>IF(OR(B10="",AJ10=0),"-",RANK.EQ(AJ10,$AJ$6:$AJ$45,0))</f>
        <v/>
      </c>
      <c r="AL10" s="35">
        <f>IF(OR(B10="",I10=0),"-",IF(OR(J10="G",J10="D"),IF(J10="G","G","D"),COUNTIF($I$6:$I$45,"&gt;"&amp;I10)+1))</f>
        <v/>
      </c>
      <c r="AM10" s="35">
        <f>IF(OR(B10="",N10=0),"-",IF(OR(O10="G",O10="D"),IF(O10="G","G","D"),COUNTIF($N$6:$N$45,"&gt;"&amp;N10)+1))</f>
        <v/>
      </c>
      <c r="AN10" s="35">
        <f>IF(OR(B10="",S10=0),"-",IF(OR(T10="G",T10="D"),IF(T10="G","G","D"),COUNTIF($S$6:$S$45,"&gt;"&amp;S10)+1))</f>
        <v/>
      </c>
      <c r="AO10" s="35">
        <f>IF(OR(B10="",X10=0),"-",IF(OR(Y10="G",Y10="D"),IF(Y10="G","G","D"),COUNTIF($X$6:$X$45,"&gt;"&amp;X10)+1))</f>
        <v/>
      </c>
      <c r="AP10" s="35">
        <f>IF(OR(B10="",AC10=0),"-",IF(OR(AD10="G",AD10="D"),IF(AD10="G","G","D"),COUNTIF($AC$6:$AC$45,"&gt;"&amp;AC10)+1))</f>
        <v/>
      </c>
      <c r="AQ10" s="35">
        <f>IF(OR(B10="",AH10=0),"-",IF(OR(AI10="G",AI10="D"),IF(AI10="G","G","D"),COUNTIF($AH$6:$AH$45,"&gt;"&amp;AH10)+1))</f>
        <v/>
      </c>
    </row>
    <row r="11">
      <c r="A11" s="38" t="n">
        <v>6</v>
      </c>
      <c r="B11" s="39" t="n"/>
      <c r="C11" s="39" t="n"/>
      <c r="D11" s="40" t="n"/>
      <c r="E11" s="41" t="n"/>
      <c r="F11" s="42" t="n"/>
      <c r="G11" s="42" t="n"/>
      <c r="H11" s="42" t="n"/>
      <c r="I11" s="34">
        <f>IF(OR(J11="G",J11="D"),0,IF(AND(F11="",G11=""),0,MAX(0,IFERROR(F11+0,0)+IFERROR(G11+0,0)-IFERROR(H11+0,0))))</f>
        <v/>
      </c>
      <c r="J11" s="43" t="n"/>
      <c r="K11" s="42" t="n"/>
      <c r="L11" s="42" t="n"/>
      <c r="M11" s="42" t="n"/>
      <c r="N11" s="34">
        <f>IF(OR(O11="G",O11="D"),0,IF(AND(K11="",L11=""),0,MAX(0,IFERROR(K11+0,0)+IFERROR(L11+0,0)-IFERROR(M11+0,0))))</f>
        <v/>
      </c>
      <c r="O11" s="43" t="n"/>
      <c r="P11" s="42" t="n"/>
      <c r="Q11" s="42" t="n"/>
      <c r="R11" s="42" t="n"/>
      <c r="S11" s="34">
        <f>IF(OR(T11="G",T11="D"),0,IF(AND(P11="",Q11=""),0,MAX(0,IFERROR(P11+0,0)+IFERROR(Q11+0,0)-IFERROR(R11+0,0))))</f>
        <v/>
      </c>
      <c r="T11" s="43" t="n"/>
      <c r="U11" s="42" t="n"/>
      <c r="V11" s="42" t="n"/>
      <c r="W11" s="42" t="n"/>
      <c r="X11" s="34">
        <f>IF(OR(Y11="G",Y11="D"),0,IF(AND(U11="",V11=""),0,MAX(0,IFERROR(U11+0,0)+IFERROR(V11+0,0)-IFERROR(W11+0,0))))</f>
        <v/>
      </c>
      <c r="Y11" s="43" t="n"/>
      <c r="Z11" s="42" t="n"/>
      <c r="AA11" s="42" t="n"/>
      <c r="AB11" s="42" t="n"/>
      <c r="AC11" s="34">
        <f>IF(OR(AD11="G",AD11="D"),0,IF(AND(Z11="",AA11=""),0,MAX(0,IFERROR(Z11+0,0)+IFERROR(AA11+0,0)-IFERROR(AB11+0,0))))</f>
        <v/>
      </c>
      <c r="AD11" s="43" t="n"/>
      <c r="AE11" s="42" t="n"/>
      <c r="AF11" s="42" t="n"/>
      <c r="AG11" s="42" t="n"/>
      <c r="AH11" s="34">
        <f>IF(OR(AI11="G",AI11="D"),0,IF(AND(AE11="",AF11=""),0,MAX(0,IFERROR(AE11+0,0)+IFERROR(AF11+0,0)-IFERROR(AG11+0,0))))</f>
        <v/>
      </c>
      <c r="AI11" s="43" t="n"/>
      <c r="AJ11" s="36">
        <f>IF(B11="","",IF(OR(J11="G",J11="D"),0,I11)+IF(OR(O11="G",O11="D"),0,N11)+IF(OR(T11="G",T11="D"),0,S11)+IF(OR(Y11="G",Y11="D"),0,X11)+IF(OR(AD11="G",AD11="D"),0,AC11)+IF(OR(AI11="G",AI11="D"),0,AH11))</f>
        <v/>
      </c>
      <c r="AK11" s="37">
        <f>IF(OR(B11="",AJ11=0),"-",RANK.EQ(AJ11,$AJ$6:$AJ$45,0))</f>
        <v/>
      </c>
      <c r="AL11" s="43">
        <f>IF(OR(B11="",I11=0),"-",IF(OR(J11="G",J11="D"),IF(J11="G","G","D"),COUNTIF($I$6:$I$45,"&gt;"&amp;I11)+1))</f>
        <v/>
      </c>
      <c r="AM11" s="43">
        <f>IF(OR(B11="",N11=0),"-",IF(OR(O11="G",O11="D"),IF(O11="G","G","D"),COUNTIF($N$6:$N$45,"&gt;"&amp;N11)+1))</f>
        <v/>
      </c>
      <c r="AN11" s="43">
        <f>IF(OR(B11="",S11=0),"-",IF(OR(T11="G",T11="D"),IF(T11="G","G","D"),COUNTIF($S$6:$S$45,"&gt;"&amp;S11)+1))</f>
        <v/>
      </c>
      <c r="AO11" s="43">
        <f>IF(OR(B11="",X11=0),"-",IF(OR(Y11="G",Y11="D"),IF(Y11="G","G","D"),COUNTIF($X$6:$X$45,"&gt;"&amp;X11)+1))</f>
        <v/>
      </c>
      <c r="AP11" s="43">
        <f>IF(OR(B11="",AC11=0),"-",IF(OR(AD11="G",AD11="D"),IF(AD11="G","G","D"),COUNTIF($AC$6:$AC$45,"&gt;"&amp;AC11)+1))</f>
        <v/>
      </c>
      <c r="AQ11" s="43">
        <f>IF(OR(B11="",AH11=0),"-",IF(OR(AI11="G",AI11="D"),IF(AI11="G","G","D"),COUNTIF($AH$6:$AH$45,"&gt;"&amp;AH11)+1))</f>
        <v/>
      </c>
    </row>
    <row r="12">
      <c r="A12" s="29" t="n">
        <v>7</v>
      </c>
      <c r="B12" s="30" t="n"/>
      <c r="C12" s="30" t="n"/>
      <c r="D12" s="31" t="n"/>
      <c r="E12" s="32" t="n"/>
      <c r="F12" s="33" t="n"/>
      <c r="G12" s="33" t="n"/>
      <c r="H12" s="33" t="n"/>
      <c r="I12" s="34">
        <f>IF(OR(J12="G",J12="D"),0,IF(AND(F12="",G12=""),0,MAX(0,IFERROR(F12+0,0)+IFERROR(G12+0,0)-IFERROR(H12+0,0))))</f>
        <v/>
      </c>
      <c r="J12" s="35" t="n"/>
      <c r="K12" s="33" t="n"/>
      <c r="L12" s="33" t="n"/>
      <c r="M12" s="33" t="n"/>
      <c r="N12" s="34">
        <f>IF(OR(O12="G",O12="D"),0,IF(AND(K12="",L12=""),0,MAX(0,IFERROR(K12+0,0)+IFERROR(L12+0,0)-IFERROR(M12+0,0))))</f>
        <v/>
      </c>
      <c r="O12" s="35" t="n"/>
      <c r="P12" s="33" t="n"/>
      <c r="Q12" s="33" t="n"/>
      <c r="R12" s="33" t="n"/>
      <c r="S12" s="34">
        <f>IF(OR(T12="G",T12="D"),0,IF(AND(P12="",Q12=""),0,MAX(0,IFERROR(P12+0,0)+IFERROR(Q12+0,0)-IFERROR(R12+0,0))))</f>
        <v/>
      </c>
      <c r="T12" s="35" t="n"/>
      <c r="U12" s="33" t="n"/>
      <c r="V12" s="33" t="n"/>
      <c r="W12" s="33" t="n"/>
      <c r="X12" s="34">
        <f>IF(OR(Y12="G",Y12="D"),0,IF(AND(U12="",V12=""),0,MAX(0,IFERROR(U12+0,0)+IFERROR(V12+0,0)-IFERROR(W12+0,0))))</f>
        <v/>
      </c>
      <c r="Y12" s="35" t="n"/>
      <c r="Z12" s="33" t="n"/>
      <c r="AA12" s="33" t="n"/>
      <c r="AB12" s="33" t="n"/>
      <c r="AC12" s="34">
        <f>IF(OR(AD12="G",AD12="D"),0,IF(AND(Z12="",AA12=""),0,MAX(0,IFERROR(Z12+0,0)+IFERROR(AA12+0,0)-IFERROR(AB12+0,0))))</f>
        <v/>
      </c>
      <c r="AD12" s="35" t="n"/>
      <c r="AE12" s="33" t="n"/>
      <c r="AF12" s="33" t="n"/>
      <c r="AG12" s="33" t="n"/>
      <c r="AH12" s="34">
        <f>IF(OR(AI12="G",AI12="D"),0,IF(AND(AE12="",AF12=""),0,MAX(0,IFERROR(AE12+0,0)+IFERROR(AF12+0,0)-IFERROR(AG12+0,0))))</f>
        <v/>
      </c>
      <c r="AI12" s="35" t="n"/>
      <c r="AJ12" s="36">
        <f>IF(B12="","",IF(OR(J12="G",J12="D"),0,I12)+IF(OR(O12="G",O12="D"),0,N12)+IF(OR(T12="G",T12="D"),0,S12)+IF(OR(Y12="G",Y12="D"),0,X12)+IF(OR(AD12="G",AD12="D"),0,AC12)+IF(OR(AI12="G",AI12="D"),0,AH12))</f>
        <v/>
      </c>
      <c r="AK12" s="37">
        <f>IF(OR(B12="",AJ12=0),"-",RANK.EQ(AJ12,$AJ$6:$AJ$45,0))</f>
        <v/>
      </c>
      <c r="AL12" s="35">
        <f>IF(OR(B12="",I12=0),"-",IF(OR(J12="G",J12="D"),IF(J12="G","G","D"),COUNTIF($I$6:$I$45,"&gt;"&amp;I12)+1))</f>
        <v/>
      </c>
      <c r="AM12" s="35">
        <f>IF(OR(B12="",N12=0),"-",IF(OR(O12="G",O12="D"),IF(O12="G","G","D"),COUNTIF($N$6:$N$45,"&gt;"&amp;N12)+1))</f>
        <v/>
      </c>
      <c r="AN12" s="35">
        <f>IF(OR(B12="",S12=0),"-",IF(OR(T12="G",T12="D"),IF(T12="G","G","D"),COUNTIF($S$6:$S$45,"&gt;"&amp;S12)+1))</f>
        <v/>
      </c>
      <c r="AO12" s="35">
        <f>IF(OR(B12="",X12=0),"-",IF(OR(Y12="G",Y12="D"),IF(Y12="G","G","D"),COUNTIF($X$6:$X$45,"&gt;"&amp;X12)+1))</f>
        <v/>
      </c>
      <c r="AP12" s="35">
        <f>IF(OR(B12="",AC12=0),"-",IF(OR(AD12="G",AD12="D"),IF(AD12="G","G","D"),COUNTIF($AC$6:$AC$45,"&gt;"&amp;AC12)+1))</f>
        <v/>
      </c>
      <c r="AQ12" s="35">
        <f>IF(OR(B12="",AH12=0),"-",IF(OR(AI12="G",AI12="D"),IF(AI12="G","G","D"),COUNTIF($AH$6:$AH$45,"&gt;"&amp;AH12)+1))</f>
        <v/>
      </c>
    </row>
    <row r="13">
      <c r="A13" s="38" t="n">
        <v>8</v>
      </c>
      <c r="B13" s="39" t="n"/>
      <c r="C13" s="39" t="n"/>
      <c r="D13" s="40" t="n"/>
      <c r="E13" s="41" t="n"/>
      <c r="F13" s="42" t="n"/>
      <c r="G13" s="42" t="n"/>
      <c r="H13" s="42" t="n"/>
      <c r="I13" s="34">
        <f>IF(OR(J13="G",J13="D"),0,IF(AND(F13="",G13=""),0,MAX(0,IFERROR(F13+0,0)+IFERROR(G13+0,0)-IFERROR(H13+0,0))))</f>
        <v/>
      </c>
      <c r="J13" s="43" t="n"/>
      <c r="K13" s="42" t="n"/>
      <c r="L13" s="42" t="n"/>
      <c r="M13" s="42" t="n"/>
      <c r="N13" s="34">
        <f>IF(OR(O13="G",O13="D"),0,IF(AND(K13="",L13=""),0,MAX(0,IFERROR(K13+0,0)+IFERROR(L13+0,0)-IFERROR(M13+0,0))))</f>
        <v/>
      </c>
      <c r="O13" s="43" t="n"/>
      <c r="P13" s="42" t="n"/>
      <c r="Q13" s="42" t="n"/>
      <c r="R13" s="42" t="n"/>
      <c r="S13" s="34">
        <f>IF(OR(T13="G",T13="D"),0,IF(AND(P13="",Q13=""),0,MAX(0,IFERROR(P13+0,0)+IFERROR(Q13+0,0)-IFERROR(R13+0,0))))</f>
        <v/>
      </c>
      <c r="T13" s="43" t="n"/>
      <c r="U13" s="42" t="n"/>
      <c r="V13" s="42" t="n"/>
      <c r="W13" s="42" t="n"/>
      <c r="X13" s="34">
        <f>IF(OR(Y13="G",Y13="D"),0,IF(AND(U13="",V13=""),0,MAX(0,IFERROR(U13+0,0)+IFERROR(V13+0,0)-IFERROR(W13+0,0))))</f>
        <v/>
      </c>
      <c r="Y13" s="43" t="n"/>
      <c r="Z13" s="42" t="n"/>
      <c r="AA13" s="42" t="n"/>
      <c r="AB13" s="42" t="n"/>
      <c r="AC13" s="34">
        <f>IF(OR(AD13="G",AD13="D"),0,IF(AND(Z13="",AA13=""),0,MAX(0,IFERROR(Z13+0,0)+IFERROR(AA13+0,0)-IFERROR(AB13+0,0))))</f>
        <v/>
      </c>
      <c r="AD13" s="43" t="n"/>
      <c r="AE13" s="42" t="n"/>
      <c r="AF13" s="42" t="n"/>
      <c r="AG13" s="42" t="n"/>
      <c r="AH13" s="34">
        <f>IF(OR(AI13="G",AI13="D"),0,IF(AND(AE13="",AF13=""),0,MAX(0,IFERROR(AE13+0,0)+IFERROR(AF13+0,0)-IFERROR(AG13+0,0))))</f>
        <v/>
      </c>
      <c r="AI13" s="43" t="n"/>
      <c r="AJ13" s="36">
        <f>IF(B13="","",IF(OR(J13="G",J13="D"),0,I13)+IF(OR(O13="G",O13="D"),0,N13)+IF(OR(T13="G",T13="D"),0,S13)+IF(OR(Y13="G",Y13="D"),0,X13)+IF(OR(AD13="G",AD13="D"),0,AC13)+IF(OR(AI13="G",AI13="D"),0,AH13))</f>
        <v/>
      </c>
      <c r="AK13" s="37">
        <f>IF(OR(B13="",AJ13=0),"-",RANK.EQ(AJ13,$AJ$6:$AJ$45,0))</f>
        <v/>
      </c>
      <c r="AL13" s="43">
        <f>IF(OR(B13="",I13=0),"-",IF(OR(J13="G",J13="D"),IF(J13="G","G","D"),COUNTIF($I$6:$I$45,"&gt;"&amp;I13)+1))</f>
        <v/>
      </c>
      <c r="AM13" s="43">
        <f>IF(OR(B13="",N13=0),"-",IF(OR(O13="G",O13="D"),IF(O13="G","G","D"),COUNTIF($N$6:$N$45,"&gt;"&amp;N13)+1))</f>
        <v/>
      </c>
      <c r="AN13" s="43">
        <f>IF(OR(B13="",S13=0),"-",IF(OR(T13="G",T13="D"),IF(T13="G","G","D"),COUNTIF($S$6:$S$45,"&gt;"&amp;S13)+1))</f>
        <v/>
      </c>
      <c r="AO13" s="43">
        <f>IF(OR(B13="",X13=0),"-",IF(OR(Y13="G",Y13="D"),IF(Y13="G","G","D"),COUNTIF($X$6:$X$45,"&gt;"&amp;X13)+1))</f>
        <v/>
      </c>
      <c r="AP13" s="43">
        <f>IF(OR(B13="",AC13=0),"-",IF(OR(AD13="G",AD13="D"),IF(AD13="G","G","D"),COUNTIF($AC$6:$AC$45,"&gt;"&amp;AC13)+1))</f>
        <v/>
      </c>
      <c r="AQ13" s="43">
        <f>IF(OR(B13="",AH13=0),"-",IF(OR(AI13="G",AI13="D"),IF(AI13="G","G","D"),COUNTIF($AH$6:$AH$45,"&gt;"&amp;AH13)+1))</f>
        <v/>
      </c>
    </row>
    <row r="14">
      <c r="A14" s="29" t="n">
        <v>9</v>
      </c>
      <c r="B14" s="30" t="n"/>
      <c r="C14" s="30" t="n"/>
      <c r="D14" s="31" t="n"/>
      <c r="E14" s="32" t="n"/>
      <c r="F14" s="33" t="n"/>
      <c r="G14" s="33" t="n"/>
      <c r="H14" s="33" t="n"/>
      <c r="I14" s="34">
        <f>IF(OR(J14="G",J14="D"),0,IF(AND(F14="",G14=""),0,MAX(0,IFERROR(F14+0,0)+IFERROR(G14+0,0)-IFERROR(H14+0,0))))</f>
        <v/>
      </c>
      <c r="J14" s="35" t="n"/>
      <c r="K14" s="33" t="n"/>
      <c r="L14" s="33" t="n"/>
      <c r="M14" s="33" t="n"/>
      <c r="N14" s="34">
        <f>IF(OR(O14="G",O14="D"),0,IF(AND(K14="",L14=""),0,MAX(0,IFERROR(K14+0,0)+IFERROR(L14+0,0)-IFERROR(M14+0,0))))</f>
        <v/>
      </c>
      <c r="O14" s="35" t="n"/>
      <c r="P14" s="33" t="n"/>
      <c r="Q14" s="33" t="n"/>
      <c r="R14" s="33" t="n"/>
      <c r="S14" s="34">
        <f>IF(OR(T14="G",T14="D"),0,IF(AND(P14="",Q14=""),0,MAX(0,IFERROR(P14+0,0)+IFERROR(Q14+0,0)-IFERROR(R14+0,0))))</f>
        <v/>
      </c>
      <c r="T14" s="35" t="n"/>
      <c r="U14" s="33" t="n"/>
      <c r="V14" s="33" t="n"/>
      <c r="W14" s="33" t="n"/>
      <c r="X14" s="34">
        <f>IF(OR(Y14="G",Y14="D"),0,IF(AND(U14="",V14=""),0,MAX(0,IFERROR(U14+0,0)+IFERROR(V14+0,0)-IFERROR(W14+0,0))))</f>
        <v/>
      </c>
      <c r="Y14" s="35" t="n"/>
      <c r="Z14" s="33" t="n"/>
      <c r="AA14" s="33" t="n"/>
      <c r="AB14" s="33" t="n"/>
      <c r="AC14" s="34">
        <f>IF(OR(AD14="G",AD14="D"),0,IF(AND(Z14="",AA14=""),0,MAX(0,IFERROR(Z14+0,0)+IFERROR(AA14+0,0)-IFERROR(AB14+0,0))))</f>
        <v/>
      </c>
      <c r="AD14" s="35" t="n"/>
      <c r="AE14" s="33" t="n"/>
      <c r="AF14" s="33" t="n"/>
      <c r="AG14" s="33" t="n"/>
      <c r="AH14" s="34">
        <f>IF(OR(AI14="G",AI14="D"),0,IF(AND(AE14="",AF14=""),0,MAX(0,IFERROR(AE14+0,0)+IFERROR(AF14+0,0)-IFERROR(AG14+0,0))))</f>
        <v/>
      </c>
      <c r="AI14" s="35" t="n"/>
      <c r="AJ14" s="36">
        <f>IF(B14="","",IF(OR(J14="G",J14="D"),0,I14)+IF(OR(O14="G",O14="D"),0,N14)+IF(OR(T14="G",T14="D"),0,S14)+IF(OR(Y14="G",Y14="D"),0,X14)+IF(OR(AD14="G",AD14="D"),0,AC14)+IF(OR(AI14="G",AI14="D"),0,AH14))</f>
        <v/>
      </c>
      <c r="AK14" s="37">
        <f>IF(OR(B14="",AJ14=0),"-",RANK.EQ(AJ14,$AJ$6:$AJ$45,0))</f>
        <v/>
      </c>
      <c r="AL14" s="35">
        <f>IF(OR(B14="",I14=0),"-",IF(OR(J14="G",J14="D"),IF(J14="G","G","D"),COUNTIF($I$6:$I$45,"&gt;"&amp;I14)+1))</f>
        <v/>
      </c>
      <c r="AM14" s="35">
        <f>IF(OR(B14="",N14=0),"-",IF(OR(O14="G",O14="D"),IF(O14="G","G","D"),COUNTIF($N$6:$N$45,"&gt;"&amp;N14)+1))</f>
        <v/>
      </c>
      <c r="AN14" s="35">
        <f>IF(OR(B14="",S14=0),"-",IF(OR(T14="G",T14="D"),IF(T14="G","G","D"),COUNTIF($S$6:$S$45,"&gt;"&amp;S14)+1))</f>
        <v/>
      </c>
      <c r="AO14" s="35">
        <f>IF(OR(B14="",X14=0),"-",IF(OR(Y14="G",Y14="D"),IF(Y14="G","G","D"),COUNTIF($X$6:$X$45,"&gt;"&amp;X14)+1))</f>
        <v/>
      </c>
      <c r="AP14" s="35">
        <f>IF(OR(B14="",AC14=0),"-",IF(OR(AD14="G",AD14="D"),IF(AD14="G","G","D"),COUNTIF($AC$6:$AC$45,"&gt;"&amp;AC14)+1))</f>
        <v/>
      </c>
      <c r="AQ14" s="35">
        <f>IF(OR(B14="",AH14=0),"-",IF(OR(AI14="G",AI14="D"),IF(AI14="G","G","D"),COUNTIF($AH$6:$AH$45,"&gt;"&amp;AH14)+1))</f>
        <v/>
      </c>
    </row>
    <row r="15">
      <c r="A15" s="38" t="n">
        <v>10</v>
      </c>
      <c r="B15" s="39" t="n"/>
      <c r="C15" s="39" t="n"/>
      <c r="D15" s="40" t="n"/>
      <c r="E15" s="41" t="n"/>
      <c r="F15" s="42" t="n"/>
      <c r="G15" s="42" t="n"/>
      <c r="H15" s="42" t="n"/>
      <c r="I15" s="34">
        <f>IF(OR(J15="G",J15="D"),0,IF(AND(F15="",G15=""),0,MAX(0,IFERROR(F15+0,0)+IFERROR(G15+0,0)-IFERROR(H15+0,0))))</f>
        <v/>
      </c>
      <c r="J15" s="43" t="n"/>
      <c r="K15" s="42" t="n"/>
      <c r="L15" s="42" t="n"/>
      <c r="M15" s="42" t="n"/>
      <c r="N15" s="34">
        <f>IF(OR(O15="G",O15="D"),0,IF(AND(K15="",L15=""),0,MAX(0,IFERROR(K15+0,0)+IFERROR(L15+0,0)-IFERROR(M15+0,0))))</f>
        <v/>
      </c>
      <c r="O15" s="43" t="n"/>
      <c r="P15" s="42" t="n"/>
      <c r="Q15" s="42" t="n"/>
      <c r="R15" s="42" t="n"/>
      <c r="S15" s="34">
        <f>IF(OR(T15="G",T15="D"),0,IF(AND(P15="",Q15=""),0,MAX(0,IFERROR(P15+0,0)+IFERROR(Q15+0,0)-IFERROR(R15+0,0))))</f>
        <v/>
      </c>
      <c r="T15" s="43" t="n"/>
      <c r="U15" s="42" t="n"/>
      <c r="V15" s="42" t="n"/>
      <c r="W15" s="42" t="n"/>
      <c r="X15" s="34">
        <f>IF(OR(Y15="G",Y15="D"),0,IF(AND(U15="",V15=""),0,MAX(0,IFERROR(U15+0,0)+IFERROR(V15+0,0)-IFERROR(W15+0,0))))</f>
        <v/>
      </c>
      <c r="Y15" s="43" t="n"/>
      <c r="Z15" s="42" t="n"/>
      <c r="AA15" s="42" t="n"/>
      <c r="AB15" s="42" t="n"/>
      <c r="AC15" s="34">
        <f>IF(OR(AD15="G",AD15="D"),0,IF(AND(Z15="",AA15=""),0,MAX(0,IFERROR(Z15+0,0)+IFERROR(AA15+0,0)-IFERROR(AB15+0,0))))</f>
        <v/>
      </c>
      <c r="AD15" s="43" t="n"/>
      <c r="AE15" s="42" t="n"/>
      <c r="AF15" s="42" t="n"/>
      <c r="AG15" s="42" t="n"/>
      <c r="AH15" s="34">
        <f>IF(OR(AI15="G",AI15="D"),0,IF(AND(AE15="",AF15=""),0,MAX(0,IFERROR(AE15+0,0)+IFERROR(AF15+0,0)-IFERROR(AG15+0,0))))</f>
        <v/>
      </c>
      <c r="AI15" s="43" t="n"/>
      <c r="AJ15" s="36">
        <f>IF(B15="","",IF(OR(J15="G",J15="D"),0,I15)+IF(OR(O15="G",O15="D"),0,N15)+IF(OR(T15="G",T15="D"),0,S15)+IF(OR(Y15="G",Y15="D"),0,X15)+IF(OR(AD15="G",AD15="D"),0,AC15)+IF(OR(AI15="G",AI15="D"),0,AH15))</f>
        <v/>
      </c>
      <c r="AK15" s="37">
        <f>IF(OR(B15="",AJ15=0),"-",RANK.EQ(AJ15,$AJ$6:$AJ$45,0))</f>
        <v/>
      </c>
      <c r="AL15" s="43">
        <f>IF(OR(B15="",I15=0),"-",IF(OR(J15="G",J15="D"),IF(J15="G","G","D"),COUNTIF($I$6:$I$45,"&gt;"&amp;I15)+1))</f>
        <v/>
      </c>
      <c r="AM15" s="43">
        <f>IF(OR(B15="",N15=0),"-",IF(OR(O15="G",O15="D"),IF(O15="G","G","D"),COUNTIF($N$6:$N$45,"&gt;"&amp;N15)+1))</f>
        <v/>
      </c>
      <c r="AN15" s="43">
        <f>IF(OR(B15="",S15=0),"-",IF(OR(T15="G",T15="D"),IF(T15="G","G","D"),COUNTIF($S$6:$S$45,"&gt;"&amp;S15)+1))</f>
        <v/>
      </c>
      <c r="AO15" s="43">
        <f>IF(OR(B15="",X15=0),"-",IF(OR(Y15="G",Y15="D"),IF(Y15="G","G","D"),COUNTIF($X$6:$X$45,"&gt;"&amp;X15)+1))</f>
        <v/>
      </c>
      <c r="AP15" s="43">
        <f>IF(OR(B15="",AC15=0),"-",IF(OR(AD15="G",AD15="D"),IF(AD15="G","G","D"),COUNTIF($AC$6:$AC$45,"&gt;"&amp;AC15)+1))</f>
        <v/>
      </c>
      <c r="AQ15" s="43">
        <f>IF(OR(B15="",AH15=0),"-",IF(OR(AI15="G",AI15="D"),IF(AI15="G","G","D"),COUNTIF($AH$6:$AH$45,"&gt;"&amp;AH15)+1))</f>
        <v/>
      </c>
    </row>
    <row r="16">
      <c r="A16" s="29" t="n">
        <v>11</v>
      </c>
      <c r="B16" s="30" t="n"/>
      <c r="C16" s="30" t="n"/>
      <c r="D16" s="31" t="n"/>
      <c r="E16" s="32" t="n"/>
      <c r="F16" s="33" t="n"/>
      <c r="G16" s="33" t="n"/>
      <c r="H16" s="33" t="n"/>
      <c r="I16" s="34">
        <f>IF(OR(J16="G",J16="D"),0,IF(AND(F16="",G16=""),0,MAX(0,IFERROR(F16+0,0)+IFERROR(G16+0,0)-IFERROR(H16+0,0))))</f>
        <v/>
      </c>
      <c r="J16" s="35" t="n"/>
      <c r="K16" s="33" t="n"/>
      <c r="L16" s="33" t="n"/>
      <c r="M16" s="33" t="n"/>
      <c r="N16" s="34">
        <f>IF(OR(O16="G",O16="D"),0,IF(AND(K16="",L16=""),0,MAX(0,IFERROR(K16+0,0)+IFERROR(L16+0,0)-IFERROR(M16+0,0))))</f>
        <v/>
      </c>
      <c r="O16" s="35" t="n"/>
      <c r="P16" s="33" t="n"/>
      <c r="Q16" s="33" t="n"/>
      <c r="R16" s="33" t="n"/>
      <c r="S16" s="34">
        <f>IF(OR(T16="G",T16="D"),0,IF(AND(P16="",Q16=""),0,MAX(0,IFERROR(P16+0,0)+IFERROR(Q16+0,0)-IFERROR(R16+0,0))))</f>
        <v/>
      </c>
      <c r="T16" s="35" t="n"/>
      <c r="U16" s="33" t="n"/>
      <c r="V16" s="33" t="n"/>
      <c r="W16" s="33" t="n"/>
      <c r="X16" s="34">
        <f>IF(OR(Y16="G",Y16="D"),0,IF(AND(U16="",V16=""),0,MAX(0,IFERROR(U16+0,0)+IFERROR(V16+0,0)-IFERROR(W16+0,0))))</f>
        <v/>
      </c>
      <c r="Y16" s="35" t="n"/>
      <c r="Z16" s="33" t="n"/>
      <c r="AA16" s="33" t="n"/>
      <c r="AB16" s="33" t="n"/>
      <c r="AC16" s="34">
        <f>IF(OR(AD16="G",AD16="D"),0,IF(AND(Z16="",AA16=""),0,MAX(0,IFERROR(Z16+0,0)+IFERROR(AA16+0,0)-IFERROR(AB16+0,0))))</f>
        <v/>
      </c>
      <c r="AD16" s="35" t="n"/>
      <c r="AE16" s="33" t="n"/>
      <c r="AF16" s="33" t="n"/>
      <c r="AG16" s="33" t="n"/>
      <c r="AH16" s="34">
        <f>IF(OR(AI16="G",AI16="D"),0,IF(AND(AE16="",AF16=""),0,MAX(0,IFERROR(AE16+0,0)+IFERROR(AF16+0,0)-IFERROR(AG16+0,0))))</f>
        <v/>
      </c>
      <c r="AI16" s="35" t="n"/>
      <c r="AJ16" s="36">
        <f>IF(B16="","",IF(OR(J16="G",J16="D"),0,I16)+IF(OR(O16="G",O16="D"),0,N16)+IF(OR(T16="G",T16="D"),0,S16)+IF(OR(Y16="G",Y16="D"),0,X16)+IF(OR(AD16="G",AD16="D"),0,AC16)+IF(OR(AI16="G",AI16="D"),0,AH16))</f>
        <v/>
      </c>
      <c r="AK16" s="37">
        <f>IF(OR(B16="",AJ16=0),"-",RANK.EQ(AJ16,$AJ$6:$AJ$45,0))</f>
        <v/>
      </c>
      <c r="AL16" s="35">
        <f>IF(OR(B16="",I16=0),"-",IF(OR(J16="G",J16="D"),IF(J16="G","G","D"),COUNTIF($I$6:$I$45,"&gt;"&amp;I16)+1))</f>
        <v/>
      </c>
      <c r="AM16" s="35">
        <f>IF(OR(B16="",N16=0),"-",IF(OR(O16="G",O16="D"),IF(O16="G","G","D"),COUNTIF($N$6:$N$45,"&gt;"&amp;N16)+1))</f>
        <v/>
      </c>
      <c r="AN16" s="35">
        <f>IF(OR(B16="",S16=0),"-",IF(OR(T16="G",T16="D"),IF(T16="G","G","D"),COUNTIF($S$6:$S$45,"&gt;"&amp;S16)+1))</f>
        <v/>
      </c>
      <c r="AO16" s="35">
        <f>IF(OR(B16="",X16=0),"-",IF(OR(Y16="G",Y16="D"),IF(Y16="G","G","D"),COUNTIF($X$6:$X$45,"&gt;"&amp;X16)+1))</f>
        <v/>
      </c>
      <c r="AP16" s="35">
        <f>IF(OR(B16="",AC16=0),"-",IF(OR(AD16="G",AD16="D"),IF(AD16="G","G","D"),COUNTIF($AC$6:$AC$45,"&gt;"&amp;AC16)+1))</f>
        <v/>
      </c>
      <c r="AQ16" s="35">
        <f>IF(OR(B16="",AH16=0),"-",IF(OR(AI16="G",AI16="D"),IF(AI16="G","G","D"),COUNTIF($AH$6:$AH$45,"&gt;"&amp;AH16)+1))</f>
        <v/>
      </c>
    </row>
    <row r="17">
      <c r="A17" s="38" t="n">
        <v>12</v>
      </c>
      <c r="B17" s="39" t="n"/>
      <c r="C17" s="39" t="n"/>
      <c r="D17" s="40" t="n"/>
      <c r="E17" s="41" t="n"/>
      <c r="F17" s="42" t="n"/>
      <c r="G17" s="42" t="n"/>
      <c r="H17" s="42" t="n"/>
      <c r="I17" s="34">
        <f>IF(OR(J17="G",J17="D"),0,IF(AND(F17="",G17=""),0,MAX(0,IFERROR(F17+0,0)+IFERROR(G17+0,0)-IFERROR(H17+0,0))))</f>
        <v/>
      </c>
      <c r="J17" s="43" t="n"/>
      <c r="K17" s="42" t="n"/>
      <c r="L17" s="42" t="n"/>
      <c r="M17" s="42" t="n"/>
      <c r="N17" s="34">
        <f>IF(OR(O17="G",O17="D"),0,IF(AND(K17="",L17=""),0,MAX(0,IFERROR(K17+0,0)+IFERROR(L17+0,0)-IFERROR(M17+0,0))))</f>
        <v/>
      </c>
      <c r="O17" s="43" t="n"/>
      <c r="P17" s="42" t="n"/>
      <c r="Q17" s="42" t="n"/>
      <c r="R17" s="42" t="n"/>
      <c r="S17" s="34">
        <f>IF(OR(T17="G",T17="D"),0,IF(AND(P17="",Q17=""),0,MAX(0,IFERROR(P17+0,0)+IFERROR(Q17+0,0)-IFERROR(R17+0,0))))</f>
        <v/>
      </c>
      <c r="T17" s="43" t="n"/>
      <c r="U17" s="42" t="n"/>
      <c r="V17" s="42" t="n"/>
      <c r="W17" s="42" t="n"/>
      <c r="X17" s="34">
        <f>IF(OR(Y17="G",Y17="D"),0,IF(AND(U17="",V17=""),0,MAX(0,IFERROR(U17+0,0)+IFERROR(V17+0,0)-IFERROR(W17+0,0))))</f>
        <v/>
      </c>
      <c r="Y17" s="43" t="n"/>
      <c r="Z17" s="42" t="n"/>
      <c r="AA17" s="42" t="n"/>
      <c r="AB17" s="42" t="n"/>
      <c r="AC17" s="34">
        <f>IF(OR(AD17="G",AD17="D"),0,IF(AND(Z17="",AA17=""),0,MAX(0,IFERROR(Z17+0,0)+IFERROR(AA17+0,0)-IFERROR(AB17+0,0))))</f>
        <v/>
      </c>
      <c r="AD17" s="43" t="n"/>
      <c r="AE17" s="42" t="n"/>
      <c r="AF17" s="42" t="n"/>
      <c r="AG17" s="42" t="n"/>
      <c r="AH17" s="34">
        <f>IF(OR(AI17="G",AI17="D"),0,IF(AND(AE17="",AF17=""),0,MAX(0,IFERROR(AE17+0,0)+IFERROR(AF17+0,0)-IFERROR(AG17+0,0))))</f>
        <v/>
      </c>
      <c r="AI17" s="43" t="n"/>
      <c r="AJ17" s="36">
        <f>IF(B17="","",IF(OR(J17="G",J17="D"),0,I17)+IF(OR(O17="G",O17="D"),0,N17)+IF(OR(T17="G",T17="D"),0,S17)+IF(OR(Y17="G",Y17="D"),0,X17)+IF(OR(AD17="G",AD17="D"),0,AC17)+IF(OR(AI17="G",AI17="D"),0,AH17))</f>
        <v/>
      </c>
      <c r="AK17" s="37">
        <f>IF(OR(B17="",AJ17=0),"-",RANK.EQ(AJ17,$AJ$6:$AJ$45,0))</f>
        <v/>
      </c>
      <c r="AL17" s="43">
        <f>IF(OR(B17="",I17=0),"-",IF(OR(J17="G",J17="D"),IF(J17="G","G","D"),COUNTIF($I$6:$I$45,"&gt;"&amp;I17)+1))</f>
        <v/>
      </c>
      <c r="AM17" s="43">
        <f>IF(OR(B17="",N17=0),"-",IF(OR(O17="G",O17="D"),IF(O17="G","G","D"),COUNTIF($N$6:$N$45,"&gt;"&amp;N17)+1))</f>
        <v/>
      </c>
      <c r="AN17" s="43">
        <f>IF(OR(B17="",S17=0),"-",IF(OR(T17="G",T17="D"),IF(T17="G","G","D"),COUNTIF($S$6:$S$45,"&gt;"&amp;S17)+1))</f>
        <v/>
      </c>
      <c r="AO17" s="43">
        <f>IF(OR(B17="",X17=0),"-",IF(OR(Y17="G",Y17="D"),IF(Y17="G","G","D"),COUNTIF($X$6:$X$45,"&gt;"&amp;X17)+1))</f>
        <v/>
      </c>
      <c r="AP17" s="43">
        <f>IF(OR(B17="",AC17=0),"-",IF(OR(AD17="G",AD17="D"),IF(AD17="G","G","D"),COUNTIF($AC$6:$AC$45,"&gt;"&amp;AC17)+1))</f>
        <v/>
      </c>
      <c r="AQ17" s="43">
        <f>IF(OR(B17="",AH17=0),"-",IF(OR(AI17="G",AI17="D"),IF(AI17="G","G","D"),COUNTIF($AH$6:$AH$45,"&gt;"&amp;AH17)+1))</f>
        <v/>
      </c>
    </row>
    <row r="18">
      <c r="A18" s="29" t="n">
        <v>13</v>
      </c>
      <c r="B18" s="30" t="n"/>
      <c r="C18" s="30" t="n"/>
      <c r="D18" s="31" t="n"/>
      <c r="E18" s="32" t="n"/>
      <c r="F18" s="33" t="n"/>
      <c r="G18" s="33" t="n"/>
      <c r="H18" s="33" t="n"/>
      <c r="I18" s="34">
        <f>IF(OR(J18="G",J18="D"),0,IF(AND(F18="",G18=""),0,MAX(0,IFERROR(F18+0,0)+IFERROR(G18+0,0)-IFERROR(H18+0,0))))</f>
        <v/>
      </c>
      <c r="J18" s="35" t="n"/>
      <c r="K18" s="33" t="n"/>
      <c r="L18" s="33" t="n"/>
      <c r="M18" s="33" t="n"/>
      <c r="N18" s="34">
        <f>IF(OR(O18="G",O18="D"),0,IF(AND(K18="",L18=""),0,MAX(0,IFERROR(K18+0,0)+IFERROR(L18+0,0)-IFERROR(M18+0,0))))</f>
        <v/>
      </c>
      <c r="O18" s="35" t="n"/>
      <c r="P18" s="33" t="n"/>
      <c r="Q18" s="33" t="n"/>
      <c r="R18" s="33" t="n"/>
      <c r="S18" s="34">
        <f>IF(OR(T18="G",T18="D"),0,IF(AND(P18="",Q18=""),0,MAX(0,IFERROR(P18+0,0)+IFERROR(Q18+0,0)-IFERROR(R18+0,0))))</f>
        <v/>
      </c>
      <c r="T18" s="35" t="n"/>
      <c r="U18" s="33" t="n"/>
      <c r="V18" s="33" t="n"/>
      <c r="W18" s="33" t="n"/>
      <c r="X18" s="34">
        <f>IF(OR(Y18="G",Y18="D"),0,IF(AND(U18="",V18=""),0,MAX(0,IFERROR(U18+0,0)+IFERROR(V18+0,0)-IFERROR(W18+0,0))))</f>
        <v/>
      </c>
      <c r="Y18" s="35" t="n"/>
      <c r="Z18" s="33" t="n"/>
      <c r="AA18" s="33" t="n"/>
      <c r="AB18" s="33" t="n"/>
      <c r="AC18" s="34">
        <f>IF(OR(AD18="G",AD18="D"),0,IF(AND(Z18="",AA18=""),0,MAX(0,IFERROR(Z18+0,0)+IFERROR(AA18+0,0)-IFERROR(AB18+0,0))))</f>
        <v/>
      </c>
      <c r="AD18" s="35" t="n"/>
      <c r="AE18" s="33" t="n"/>
      <c r="AF18" s="33" t="n"/>
      <c r="AG18" s="33" t="n"/>
      <c r="AH18" s="34">
        <f>IF(OR(AI18="G",AI18="D"),0,IF(AND(AE18="",AF18=""),0,MAX(0,IFERROR(AE18+0,0)+IFERROR(AF18+0,0)-IFERROR(AG18+0,0))))</f>
        <v/>
      </c>
      <c r="AI18" s="35" t="n"/>
      <c r="AJ18" s="36">
        <f>IF(B18="","",IF(OR(J18="G",J18="D"),0,I18)+IF(OR(O18="G",O18="D"),0,N18)+IF(OR(T18="G",T18="D"),0,S18)+IF(OR(Y18="G",Y18="D"),0,X18)+IF(OR(AD18="G",AD18="D"),0,AC18)+IF(OR(AI18="G",AI18="D"),0,AH18))</f>
        <v/>
      </c>
      <c r="AK18" s="37">
        <f>IF(OR(B18="",AJ18=0),"-",RANK.EQ(AJ18,$AJ$6:$AJ$45,0))</f>
        <v/>
      </c>
      <c r="AL18" s="35">
        <f>IF(OR(B18="",I18=0),"-",IF(OR(J18="G",J18="D"),IF(J18="G","G","D"),COUNTIF($I$6:$I$45,"&gt;"&amp;I18)+1))</f>
        <v/>
      </c>
      <c r="AM18" s="35">
        <f>IF(OR(B18="",N18=0),"-",IF(OR(O18="G",O18="D"),IF(O18="G","G","D"),COUNTIF($N$6:$N$45,"&gt;"&amp;N18)+1))</f>
        <v/>
      </c>
      <c r="AN18" s="35">
        <f>IF(OR(B18="",S18=0),"-",IF(OR(T18="G",T18="D"),IF(T18="G","G","D"),COUNTIF($S$6:$S$45,"&gt;"&amp;S18)+1))</f>
        <v/>
      </c>
      <c r="AO18" s="35">
        <f>IF(OR(B18="",X18=0),"-",IF(OR(Y18="G",Y18="D"),IF(Y18="G","G","D"),COUNTIF($X$6:$X$45,"&gt;"&amp;X18)+1))</f>
        <v/>
      </c>
      <c r="AP18" s="35">
        <f>IF(OR(B18="",AC18=0),"-",IF(OR(AD18="G",AD18="D"),IF(AD18="G","G","D"),COUNTIF($AC$6:$AC$45,"&gt;"&amp;AC18)+1))</f>
        <v/>
      </c>
      <c r="AQ18" s="35">
        <f>IF(OR(B18="",AH18=0),"-",IF(OR(AI18="G",AI18="D"),IF(AI18="G","G","D"),COUNTIF($AH$6:$AH$45,"&gt;"&amp;AH18)+1))</f>
        <v/>
      </c>
    </row>
    <row r="19">
      <c r="A19" s="38" t="n">
        <v>14</v>
      </c>
      <c r="B19" s="39" t="n"/>
      <c r="C19" s="39" t="n"/>
      <c r="D19" s="40" t="n"/>
      <c r="E19" s="41" t="n"/>
      <c r="F19" s="42" t="n"/>
      <c r="G19" s="42" t="n"/>
      <c r="H19" s="42" t="n"/>
      <c r="I19" s="34">
        <f>IF(OR(J19="G",J19="D"),0,IF(AND(F19="",G19=""),0,MAX(0,IFERROR(F19+0,0)+IFERROR(G19+0,0)-IFERROR(H19+0,0))))</f>
        <v/>
      </c>
      <c r="J19" s="43" t="n"/>
      <c r="K19" s="42" t="n"/>
      <c r="L19" s="42" t="n"/>
      <c r="M19" s="42" t="n"/>
      <c r="N19" s="34">
        <f>IF(OR(O19="G",O19="D"),0,IF(AND(K19="",L19=""),0,MAX(0,IFERROR(K19+0,0)+IFERROR(L19+0,0)-IFERROR(M19+0,0))))</f>
        <v/>
      </c>
      <c r="O19" s="43" t="n"/>
      <c r="P19" s="42" t="n"/>
      <c r="Q19" s="42" t="n"/>
      <c r="R19" s="42" t="n"/>
      <c r="S19" s="34">
        <f>IF(OR(T19="G",T19="D"),0,IF(AND(P19="",Q19=""),0,MAX(0,IFERROR(P19+0,0)+IFERROR(Q19+0,0)-IFERROR(R19+0,0))))</f>
        <v/>
      </c>
      <c r="T19" s="43" t="n"/>
      <c r="U19" s="42" t="n"/>
      <c r="V19" s="42" t="n"/>
      <c r="W19" s="42" t="n"/>
      <c r="X19" s="34">
        <f>IF(OR(Y19="G",Y19="D"),0,IF(AND(U19="",V19=""),0,MAX(0,IFERROR(U19+0,0)+IFERROR(V19+0,0)-IFERROR(W19+0,0))))</f>
        <v/>
      </c>
      <c r="Y19" s="43" t="n"/>
      <c r="Z19" s="42" t="n"/>
      <c r="AA19" s="42" t="n"/>
      <c r="AB19" s="42" t="n"/>
      <c r="AC19" s="34">
        <f>IF(OR(AD19="G",AD19="D"),0,IF(AND(Z19="",AA19=""),0,MAX(0,IFERROR(Z19+0,0)+IFERROR(AA19+0,0)-IFERROR(AB19+0,0))))</f>
        <v/>
      </c>
      <c r="AD19" s="43" t="n"/>
      <c r="AE19" s="42" t="n"/>
      <c r="AF19" s="42" t="n"/>
      <c r="AG19" s="42" t="n"/>
      <c r="AH19" s="34">
        <f>IF(OR(AI19="G",AI19="D"),0,IF(AND(AE19="",AF19=""),0,MAX(0,IFERROR(AE19+0,0)+IFERROR(AF19+0,0)-IFERROR(AG19+0,0))))</f>
        <v/>
      </c>
      <c r="AI19" s="43" t="n"/>
      <c r="AJ19" s="36">
        <f>IF(B19="","",IF(OR(J19="G",J19="D"),0,I19)+IF(OR(O19="G",O19="D"),0,N19)+IF(OR(T19="G",T19="D"),0,S19)+IF(OR(Y19="G",Y19="D"),0,X19)+IF(OR(AD19="G",AD19="D"),0,AC19)+IF(OR(AI19="G",AI19="D"),0,AH19))</f>
        <v/>
      </c>
      <c r="AK19" s="37">
        <f>IF(OR(B19="",AJ19=0),"-",RANK.EQ(AJ19,$AJ$6:$AJ$45,0))</f>
        <v/>
      </c>
      <c r="AL19" s="43">
        <f>IF(OR(B19="",I19=0),"-",IF(OR(J19="G",J19="D"),IF(J19="G","G","D"),COUNTIF($I$6:$I$45,"&gt;"&amp;I19)+1))</f>
        <v/>
      </c>
      <c r="AM19" s="43">
        <f>IF(OR(B19="",N19=0),"-",IF(OR(O19="G",O19="D"),IF(O19="G","G","D"),COUNTIF($N$6:$N$45,"&gt;"&amp;N19)+1))</f>
        <v/>
      </c>
      <c r="AN19" s="43">
        <f>IF(OR(B19="",S19=0),"-",IF(OR(T19="G",T19="D"),IF(T19="G","G","D"),COUNTIF($S$6:$S$45,"&gt;"&amp;S19)+1))</f>
        <v/>
      </c>
      <c r="AO19" s="43">
        <f>IF(OR(B19="",X19=0),"-",IF(OR(Y19="G",Y19="D"),IF(Y19="G","G","D"),COUNTIF($X$6:$X$45,"&gt;"&amp;X19)+1))</f>
        <v/>
      </c>
      <c r="AP19" s="43">
        <f>IF(OR(B19="",AC19=0),"-",IF(OR(AD19="G",AD19="D"),IF(AD19="G","G","D"),COUNTIF($AC$6:$AC$45,"&gt;"&amp;AC19)+1))</f>
        <v/>
      </c>
      <c r="AQ19" s="43">
        <f>IF(OR(B19="",AH19=0),"-",IF(OR(AI19="G",AI19="D"),IF(AI19="G","G","D"),COUNTIF($AH$6:$AH$45,"&gt;"&amp;AH19)+1))</f>
        <v/>
      </c>
    </row>
    <row r="20">
      <c r="A20" s="29" t="n">
        <v>15</v>
      </c>
      <c r="B20" s="30" t="n"/>
      <c r="C20" s="30" t="n"/>
      <c r="D20" s="31" t="n"/>
      <c r="E20" s="32" t="n"/>
      <c r="F20" s="33" t="n"/>
      <c r="G20" s="33" t="n"/>
      <c r="H20" s="33" t="n"/>
      <c r="I20" s="34">
        <f>IF(OR(J20="G",J20="D"),0,IF(AND(F20="",G20=""),0,MAX(0,IFERROR(F20+0,0)+IFERROR(G20+0,0)-IFERROR(H20+0,0))))</f>
        <v/>
      </c>
      <c r="J20" s="35" t="n"/>
      <c r="K20" s="33" t="n"/>
      <c r="L20" s="33" t="n"/>
      <c r="M20" s="33" t="n"/>
      <c r="N20" s="34">
        <f>IF(OR(O20="G",O20="D"),0,IF(AND(K20="",L20=""),0,MAX(0,IFERROR(K20+0,0)+IFERROR(L20+0,0)-IFERROR(M20+0,0))))</f>
        <v/>
      </c>
      <c r="O20" s="35" t="n"/>
      <c r="P20" s="33" t="n"/>
      <c r="Q20" s="33" t="n"/>
      <c r="R20" s="33" t="n"/>
      <c r="S20" s="34">
        <f>IF(OR(T20="G",T20="D"),0,IF(AND(P20="",Q20=""),0,MAX(0,IFERROR(P20+0,0)+IFERROR(Q20+0,0)-IFERROR(R20+0,0))))</f>
        <v/>
      </c>
      <c r="T20" s="35" t="n"/>
      <c r="U20" s="33" t="n"/>
      <c r="V20" s="33" t="n"/>
      <c r="W20" s="33" t="n"/>
      <c r="X20" s="34">
        <f>IF(OR(Y20="G",Y20="D"),0,IF(AND(U20="",V20=""),0,MAX(0,IFERROR(U20+0,0)+IFERROR(V20+0,0)-IFERROR(W20+0,0))))</f>
        <v/>
      </c>
      <c r="Y20" s="35" t="n"/>
      <c r="Z20" s="33" t="n"/>
      <c r="AA20" s="33" t="n"/>
      <c r="AB20" s="33" t="n"/>
      <c r="AC20" s="34">
        <f>IF(OR(AD20="G",AD20="D"),0,IF(AND(Z20="",AA20=""),0,MAX(0,IFERROR(Z20+0,0)+IFERROR(AA20+0,0)-IFERROR(AB20+0,0))))</f>
        <v/>
      </c>
      <c r="AD20" s="35" t="n"/>
      <c r="AE20" s="33" t="n"/>
      <c r="AF20" s="33" t="n"/>
      <c r="AG20" s="33" t="n"/>
      <c r="AH20" s="34">
        <f>IF(OR(AI20="G",AI20="D"),0,IF(AND(AE20="",AF20=""),0,MAX(0,IFERROR(AE20+0,0)+IFERROR(AF20+0,0)-IFERROR(AG20+0,0))))</f>
        <v/>
      </c>
      <c r="AI20" s="35" t="n"/>
      <c r="AJ20" s="36">
        <f>IF(B20="","",IF(OR(J20="G",J20="D"),0,I20)+IF(OR(O20="G",O20="D"),0,N20)+IF(OR(T20="G",T20="D"),0,S20)+IF(OR(Y20="G",Y20="D"),0,X20)+IF(OR(AD20="G",AD20="D"),0,AC20)+IF(OR(AI20="G",AI20="D"),0,AH20))</f>
        <v/>
      </c>
      <c r="AK20" s="37">
        <f>IF(OR(B20="",AJ20=0),"-",RANK.EQ(AJ20,$AJ$6:$AJ$45,0))</f>
        <v/>
      </c>
      <c r="AL20" s="35">
        <f>IF(OR(B20="",I20=0),"-",IF(OR(J20="G",J20="D"),IF(J20="G","G","D"),COUNTIF($I$6:$I$45,"&gt;"&amp;I20)+1))</f>
        <v/>
      </c>
      <c r="AM20" s="35">
        <f>IF(OR(B20="",N20=0),"-",IF(OR(O20="G",O20="D"),IF(O20="G","G","D"),COUNTIF($N$6:$N$45,"&gt;"&amp;N20)+1))</f>
        <v/>
      </c>
      <c r="AN20" s="35">
        <f>IF(OR(B20="",S20=0),"-",IF(OR(T20="G",T20="D"),IF(T20="G","G","D"),COUNTIF($S$6:$S$45,"&gt;"&amp;S20)+1))</f>
        <v/>
      </c>
      <c r="AO20" s="35">
        <f>IF(OR(B20="",X20=0),"-",IF(OR(Y20="G",Y20="D"),IF(Y20="G","G","D"),COUNTIF($X$6:$X$45,"&gt;"&amp;X20)+1))</f>
        <v/>
      </c>
      <c r="AP20" s="35">
        <f>IF(OR(B20="",AC20=0),"-",IF(OR(AD20="G",AD20="D"),IF(AD20="G","G","D"),COUNTIF($AC$6:$AC$45,"&gt;"&amp;AC20)+1))</f>
        <v/>
      </c>
      <c r="AQ20" s="35">
        <f>IF(OR(B20="",AH20=0),"-",IF(OR(AI20="G",AI20="D"),IF(AI20="G","G","D"),COUNTIF($AH$6:$AH$45,"&gt;"&amp;AH20)+1))</f>
        <v/>
      </c>
    </row>
    <row r="21">
      <c r="A21" s="38" t="n">
        <v>16</v>
      </c>
      <c r="B21" s="39" t="n"/>
      <c r="C21" s="39" t="n"/>
      <c r="D21" s="40" t="n"/>
      <c r="E21" s="41" t="n"/>
      <c r="F21" s="42" t="n"/>
      <c r="G21" s="42" t="n"/>
      <c r="H21" s="42" t="n"/>
      <c r="I21" s="34">
        <f>IF(OR(J21="G",J21="D"),0,IF(AND(F21="",G21=""),0,MAX(0,IFERROR(F21+0,0)+IFERROR(G21+0,0)-IFERROR(H21+0,0))))</f>
        <v/>
      </c>
      <c r="J21" s="43" t="n"/>
      <c r="K21" s="42" t="n"/>
      <c r="L21" s="42" t="n"/>
      <c r="M21" s="42" t="n"/>
      <c r="N21" s="34">
        <f>IF(OR(O21="G",O21="D"),0,IF(AND(K21="",L21=""),0,MAX(0,IFERROR(K21+0,0)+IFERROR(L21+0,0)-IFERROR(M21+0,0))))</f>
        <v/>
      </c>
      <c r="O21" s="43" t="n"/>
      <c r="P21" s="42" t="n"/>
      <c r="Q21" s="42" t="n"/>
      <c r="R21" s="42" t="n"/>
      <c r="S21" s="34">
        <f>IF(OR(T21="G",T21="D"),0,IF(AND(P21="",Q21=""),0,MAX(0,IFERROR(P21+0,0)+IFERROR(Q21+0,0)-IFERROR(R21+0,0))))</f>
        <v/>
      </c>
      <c r="T21" s="43" t="n"/>
      <c r="U21" s="42" t="n"/>
      <c r="V21" s="42" t="n"/>
      <c r="W21" s="42" t="n"/>
      <c r="X21" s="34">
        <f>IF(OR(Y21="G",Y21="D"),0,IF(AND(U21="",V21=""),0,MAX(0,IFERROR(U21+0,0)+IFERROR(V21+0,0)-IFERROR(W21+0,0))))</f>
        <v/>
      </c>
      <c r="Y21" s="43" t="n"/>
      <c r="Z21" s="42" t="n"/>
      <c r="AA21" s="42" t="n"/>
      <c r="AB21" s="42" t="n"/>
      <c r="AC21" s="34">
        <f>IF(OR(AD21="G",AD21="D"),0,IF(AND(Z21="",AA21=""),0,MAX(0,IFERROR(Z21+0,0)+IFERROR(AA21+0,0)-IFERROR(AB21+0,0))))</f>
        <v/>
      </c>
      <c r="AD21" s="43" t="n"/>
      <c r="AE21" s="42" t="n"/>
      <c r="AF21" s="42" t="n"/>
      <c r="AG21" s="42" t="n"/>
      <c r="AH21" s="34">
        <f>IF(OR(AI21="G",AI21="D"),0,IF(AND(AE21="",AF21=""),0,MAX(0,IFERROR(AE21+0,0)+IFERROR(AF21+0,0)-IFERROR(AG21+0,0))))</f>
        <v/>
      </c>
      <c r="AI21" s="43" t="n"/>
      <c r="AJ21" s="36">
        <f>IF(B21="","",IF(OR(J21="G",J21="D"),0,I21)+IF(OR(O21="G",O21="D"),0,N21)+IF(OR(T21="G",T21="D"),0,S21)+IF(OR(Y21="G",Y21="D"),0,X21)+IF(OR(AD21="G",AD21="D"),0,AC21)+IF(OR(AI21="G",AI21="D"),0,AH21))</f>
        <v/>
      </c>
      <c r="AK21" s="37">
        <f>IF(OR(B21="",AJ21=0),"-",RANK.EQ(AJ21,$AJ$6:$AJ$45,0))</f>
        <v/>
      </c>
      <c r="AL21" s="43">
        <f>IF(OR(B21="",I21=0),"-",IF(OR(J21="G",J21="D"),IF(J21="G","G","D"),COUNTIF($I$6:$I$45,"&gt;"&amp;I21)+1))</f>
        <v/>
      </c>
      <c r="AM21" s="43">
        <f>IF(OR(B21="",N21=0),"-",IF(OR(O21="G",O21="D"),IF(O21="G","G","D"),COUNTIF($N$6:$N$45,"&gt;"&amp;N21)+1))</f>
        <v/>
      </c>
      <c r="AN21" s="43">
        <f>IF(OR(B21="",S21=0),"-",IF(OR(T21="G",T21="D"),IF(T21="G","G","D"),COUNTIF($S$6:$S$45,"&gt;"&amp;S21)+1))</f>
        <v/>
      </c>
      <c r="AO21" s="43">
        <f>IF(OR(B21="",X21=0),"-",IF(OR(Y21="G",Y21="D"),IF(Y21="G","G","D"),COUNTIF($X$6:$X$45,"&gt;"&amp;X21)+1))</f>
        <v/>
      </c>
      <c r="AP21" s="43">
        <f>IF(OR(B21="",AC21=0),"-",IF(OR(AD21="G",AD21="D"),IF(AD21="G","G","D"),COUNTIF($AC$6:$AC$45,"&gt;"&amp;AC21)+1))</f>
        <v/>
      </c>
      <c r="AQ21" s="43">
        <f>IF(OR(B21="",AH21=0),"-",IF(OR(AI21="G",AI21="D"),IF(AI21="G","G","D"),COUNTIF($AH$6:$AH$45,"&gt;"&amp;AH21)+1))</f>
        <v/>
      </c>
    </row>
    <row r="22">
      <c r="A22" s="29" t="n">
        <v>17</v>
      </c>
      <c r="B22" s="30" t="n"/>
      <c r="C22" s="30" t="n"/>
      <c r="D22" s="31" t="n"/>
      <c r="E22" s="32" t="n"/>
      <c r="F22" s="33" t="n"/>
      <c r="G22" s="33" t="n"/>
      <c r="H22" s="33" t="n"/>
      <c r="I22" s="34">
        <f>IF(OR(J22="G",J22="D"),0,IF(AND(F22="",G22=""),0,MAX(0,IFERROR(F22+0,0)+IFERROR(G22+0,0)-IFERROR(H22+0,0))))</f>
        <v/>
      </c>
      <c r="J22" s="35" t="n"/>
      <c r="K22" s="33" t="n"/>
      <c r="L22" s="33" t="n"/>
      <c r="M22" s="33" t="n"/>
      <c r="N22" s="34">
        <f>IF(OR(O22="G",O22="D"),0,IF(AND(K22="",L22=""),0,MAX(0,IFERROR(K22+0,0)+IFERROR(L22+0,0)-IFERROR(M22+0,0))))</f>
        <v/>
      </c>
      <c r="O22" s="35" t="n"/>
      <c r="P22" s="33" t="n"/>
      <c r="Q22" s="33" t="n"/>
      <c r="R22" s="33" t="n"/>
      <c r="S22" s="34">
        <f>IF(OR(T22="G",T22="D"),0,IF(AND(P22="",Q22=""),0,MAX(0,IFERROR(P22+0,0)+IFERROR(Q22+0,0)-IFERROR(R22+0,0))))</f>
        <v/>
      </c>
      <c r="T22" s="35" t="n"/>
      <c r="U22" s="33" t="n"/>
      <c r="V22" s="33" t="n"/>
      <c r="W22" s="33" t="n"/>
      <c r="X22" s="34">
        <f>IF(OR(Y22="G",Y22="D"),0,IF(AND(U22="",V22=""),0,MAX(0,IFERROR(U22+0,0)+IFERROR(V22+0,0)-IFERROR(W22+0,0))))</f>
        <v/>
      </c>
      <c r="Y22" s="35" t="n"/>
      <c r="Z22" s="33" t="n"/>
      <c r="AA22" s="33" t="n"/>
      <c r="AB22" s="33" t="n"/>
      <c r="AC22" s="34">
        <f>IF(OR(AD22="G",AD22="D"),0,IF(AND(Z22="",AA22=""),0,MAX(0,IFERROR(Z22+0,0)+IFERROR(AA22+0,0)-IFERROR(AB22+0,0))))</f>
        <v/>
      </c>
      <c r="AD22" s="35" t="n"/>
      <c r="AE22" s="33" t="n"/>
      <c r="AF22" s="33" t="n"/>
      <c r="AG22" s="33" t="n"/>
      <c r="AH22" s="34">
        <f>IF(OR(AI22="G",AI22="D"),0,IF(AND(AE22="",AF22=""),0,MAX(0,IFERROR(AE22+0,0)+IFERROR(AF22+0,0)-IFERROR(AG22+0,0))))</f>
        <v/>
      </c>
      <c r="AI22" s="35" t="n"/>
      <c r="AJ22" s="36">
        <f>IF(B22="","",IF(OR(J22="G",J22="D"),0,I22)+IF(OR(O22="G",O22="D"),0,N22)+IF(OR(T22="G",T22="D"),0,S22)+IF(OR(Y22="G",Y22="D"),0,X22)+IF(OR(AD22="G",AD22="D"),0,AC22)+IF(OR(AI22="G",AI22="D"),0,AH22))</f>
        <v/>
      </c>
      <c r="AK22" s="37">
        <f>IF(OR(B22="",AJ22=0),"-",RANK.EQ(AJ22,$AJ$6:$AJ$45,0))</f>
        <v/>
      </c>
      <c r="AL22" s="35">
        <f>IF(OR(B22="",I22=0),"-",IF(OR(J22="G",J22="D"),IF(J22="G","G","D"),COUNTIF($I$6:$I$45,"&gt;"&amp;I22)+1))</f>
        <v/>
      </c>
      <c r="AM22" s="35">
        <f>IF(OR(B22="",N22=0),"-",IF(OR(O22="G",O22="D"),IF(O22="G","G","D"),COUNTIF($N$6:$N$45,"&gt;"&amp;N22)+1))</f>
        <v/>
      </c>
      <c r="AN22" s="35">
        <f>IF(OR(B22="",S22=0),"-",IF(OR(T22="G",T22="D"),IF(T22="G","G","D"),COUNTIF($S$6:$S$45,"&gt;"&amp;S22)+1))</f>
        <v/>
      </c>
      <c r="AO22" s="35">
        <f>IF(OR(B22="",X22=0),"-",IF(OR(Y22="G",Y22="D"),IF(Y22="G","G","D"),COUNTIF($X$6:$X$45,"&gt;"&amp;X22)+1))</f>
        <v/>
      </c>
      <c r="AP22" s="35">
        <f>IF(OR(B22="",AC22=0),"-",IF(OR(AD22="G",AD22="D"),IF(AD22="G","G","D"),COUNTIF($AC$6:$AC$45,"&gt;"&amp;AC22)+1))</f>
        <v/>
      </c>
      <c r="AQ22" s="35">
        <f>IF(OR(B22="",AH22=0),"-",IF(OR(AI22="G",AI22="D"),IF(AI22="G","G","D"),COUNTIF($AH$6:$AH$45,"&gt;"&amp;AH22)+1))</f>
        <v/>
      </c>
    </row>
    <row r="23">
      <c r="A23" s="38" t="n">
        <v>18</v>
      </c>
      <c r="B23" s="39" t="n"/>
      <c r="C23" s="39" t="n"/>
      <c r="D23" s="40" t="n"/>
      <c r="E23" s="41" t="n"/>
      <c r="F23" s="42" t="n"/>
      <c r="G23" s="42" t="n"/>
      <c r="H23" s="42" t="n"/>
      <c r="I23" s="34">
        <f>IF(OR(J23="G",J23="D"),0,IF(AND(F23="",G23=""),0,MAX(0,IFERROR(F23+0,0)+IFERROR(G23+0,0)-IFERROR(H23+0,0))))</f>
        <v/>
      </c>
      <c r="J23" s="43" t="n"/>
      <c r="K23" s="42" t="n"/>
      <c r="L23" s="42" t="n"/>
      <c r="M23" s="42" t="n"/>
      <c r="N23" s="34">
        <f>IF(OR(O23="G",O23="D"),0,IF(AND(K23="",L23=""),0,MAX(0,IFERROR(K23+0,0)+IFERROR(L23+0,0)-IFERROR(M23+0,0))))</f>
        <v/>
      </c>
      <c r="O23" s="43" t="n"/>
      <c r="P23" s="42" t="n"/>
      <c r="Q23" s="42" t="n"/>
      <c r="R23" s="42" t="n"/>
      <c r="S23" s="34">
        <f>IF(OR(T23="G",T23="D"),0,IF(AND(P23="",Q23=""),0,MAX(0,IFERROR(P23+0,0)+IFERROR(Q23+0,0)-IFERROR(R23+0,0))))</f>
        <v/>
      </c>
      <c r="T23" s="43" t="n"/>
      <c r="U23" s="42" t="n"/>
      <c r="V23" s="42" t="n"/>
      <c r="W23" s="42" t="n"/>
      <c r="X23" s="34">
        <f>IF(OR(Y23="G",Y23="D"),0,IF(AND(U23="",V23=""),0,MAX(0,IFERROR(U23+0,0)+IFERROR(V23+0,0)-IFERROR(W23+0,0))))</f>
        <v/>
      </c>
      <c r="Y23" s="43" t="n"/>
      <c r="Z23" s="42" t="n"/>
      <c r="AA23" s="42" t="n"/>
      <c r="AB23" s="42" t="n"/>
      <c r="AC23" s="34">
        <f>IF(OR(AD23="G",AD23="D"),0,IF(AND(Z23="",AA23=""),0,MAX(0,IFERROR(Z23+0,0)+IFERROR(AA23+0,0)-IFERROR(AB23+0,0))))</f>
        <v/>
      </c>
      <c r="AD23" s="43" t="n"/>
      <c r="AE23" s="42" t="n"/>
      <c r="AF23" s="42" t="n"/>
      <c r="AG23" s="42" t="n"/>
      <c r="AH23" s="34">
        <f>IF(OR(AI23="G",AI23="D"),0,IF(AND(AE23="",AF23=""),0,MAX(0,IFERROR(AE23+0,0)+IFERROR(AF23+0,0)-IFERROR(AG23+0,0))))</f>
        <v/>
      </c>
      <c r="AI23" s="43" t="n"/>
      <c r="AJ23" s="36">
        <f>IF(B23="","",IF(OR(J23="G",J23="D"),0,I23)+IF(OR(O23="G",O23="D"),0,N23)+IF(OR(T23="G",T23="D"),0,S23)+IF(OR(Y23="G",Y23="D"),0,X23)+IF(OR(AD23="G",AD23="D"),0,AC23)+IF(OR(AI23="G",AI23="D"),0,AH23))</f>
        <v/>
      </c>
      <c r="AK23" s="37">
        <f>IF(OR(B23="",AJ23=0),"-",RANK.EQ(AJ23,$AJ$6:$AJ$45,0))</f>
        <v/>
      </c>
      <c r="AL23" s="43">
        <f>IF(OR(B23="",I23=0),"-",IF(OR(J23="G",J23="D"),IF(J23="G","G","D"),COUNTIF($I$6:$I$45,"&gt;"&amp;I23)+1))</f>
        <v/>
      </c>
      <c r="AM23" s="43">
        <f>IF(OR(B23="",N23=0),"-",IF(OR(O23="G",O23="D"),IF(O23="G","G","D"),COUNTIF($N$6:$N$45,"&gt;"&amp;N23)+1))</f>
        <v/>
      </c>
      <c r="AN23" s="43">
        <f>IF(OR(B23="",S23=0),"-",IF(OR(T23="G",T23="D"),IF(T23="G","G","D"),COUNTIF($S$6:$S$45,"&gt;"&amp;S23)+1))</f>
        <v/>
      </c>
      <c r="AO23" s="43">
        <f>IF(OR(B23="",X23=0),"-",IF(OR(Y23="G",Y23="D"),IF(Y23="G","G","D"),COUNTIF($X$6:$X$45,"&gt;"&amp;X23)+1))</f>
        <v/>
      </c>
      <c r="AP23" s="43">
        <f>IF(OR(B23="",AC23=0),"-",IF(OR(AD23="G",AD23="D"),IF(AD23="G","G","D"),COUNTIF($AC$6:$AC$45,"&gt;"&amp;AC23)+1))</f>
        <v/>
      </c>
      <c r="AQ23" s="43">
        <f>IF(OR(B23="",AH23=0),"-",IF(OR(AI23="G",AI23="D"),IF(AI23="G","G","D"),COUNTIF($AH$6:$AH$45,"&gt;"&amp;AH23)+1))</f>
        <v/>
      </c>
    </row>
    <row r="24">
      <c r="A24" s="29" t="n">
        <v>19</v>
      </c>
      <c r="B24" s="30" t="n"/>
      <c r="C24" s="30" t="n"/>
      <c r="D24" s="31" t="n"/>
      <c r="E24" s="32" t="n"/>
      <c r="F24" s="33" t="n"/>
      <c r="G24" s="33" t="n"/>
      <c r="H24" s="33" t="n"/>
      <c r="I24" s="34">
        <f>IF(OR(J24="G",J24="D"),0,IF(AND(F24="",G24=""),0,MAX(0,IFERROR(F24+0,0)+IFERROR(G24+0,0)-IFERROR(H24+0,0))))</f>
        <v/>
      </c>
      <c r="J24" s="35" t="n"/>
      <c r="K24" s="33" t="n"/>
      <c r="L24" s="33" t="n"/>
      <c r="M24" s="33" t="n"/>
      <c r="N24" s="34">
        <f>IF(OR(O24="G",O24="D"),0,IF(AND(K24="",L24=""),0,MAX(0,IFERROR(K24+0,0)+IFERROR(L24+0,0)-IFERROR(M24+0,0))))</f>
        <v/>
      </c>
      <c r="O24" s="35" t="n"/>
      <c r="P24" s="33" t="n"/>
      <c r="Q24" s="33" t="n"/>
      <c r="R24" s="33" t="n"/>
      <c r="S24" s="34">
        <f>IF(OR(T24="G",T24="D"),0,IF(AND(P24="",Q24=""),0,MAX(0,IFERROR(P24+0,0)+IFERROR(Q24+0,0)-IFERROR(R24+0,0))))</f>
        <v/>
      </c>
      <c r="T24" s="35" t="n"/>
      <c r="U24" s="33" t="n"/>
      <c r="V24" s="33" t="n"/>
      <c r="W24" s="33" t="n"/>
      <c r="X24" s="34">
        <f>IF(OR(Y24="G",Y24="D"),0,IF(AND(U24="",V24=""),0,MAX(0,IFERROR(U24+0,0)+IFERROR(V24+0,0)-IFERROR(W24+0,0))))</f>
        <v/>
      </c>
      <c r="Y24" s="35" t="n"/>
      <c r="Z24" s="33" t="n"/>
      <c r="AA24" s="33" t="n"/>
      <c r="AB24" s="33" t="n"/>
      <c r="AC24" s="34">
        <f>IF(OR(AD24="G",AD24="D"),0,IF(AND(Z24="",AA24=""),0,MAX(0,IFERROR(Z24+0,0)+IFERROR(AA24+0,0)-IFERROR(AB24+0,0))))</f>
        <v/>
      </c>
      <c r="AD24" s="35" t="n"/>
      <c r="AE24" s="33" t="n"/>
      <c r="AF24" s="33" t="n"/>
      <c r="AG24" s="33" t="n"/>
      <c r="AH24" s="34">
        <f>IF(OR(AI24="G",AI24="D"),0,IF(AND(AE24="",AF24=""),0,MAX(0,IFERROR(AE24+0,0)+IFERROR(AF24+0,0)-IFERROR(AG24+0,0))))</f>
        <v/>
      </c>
      <c r="AI24" s="35" t="n"/>
      <c r="AJ24" s="36">
        <f>IF(B24="","",IF(OR(J24="G",J24="D"),0,I24)+IF(OR(O24="G",O24="D"),0,N24)+IF(OR(T24="G",T24="D"),0,S24)+IF(OR(Y24="G",Y24="D"),0,X24)+IF(OR(AD24="G",AD24="D"),0,AC24)+IF(OR(AI24="G",AI24="D"),0,AH24))</f>
        <v/>
      </c>
      <c r="AK24" s="37">
        <f>IF(OR(B24="",AJ24=0),"-",RANK.EQ(AJ24,$AJ$6:$AJ$45,0))</f>
        <v/>
      </c>
      <c r="AL24" s="35">
        <f>IF(OR(B24="",I24=0),"-",IF(OR(J24="G",J24="D"),IF(J24="G","G","D"),COUNTIF($I$6:$I$45,"&gt;"&amp;I24)+1))</f>
        <v/>
      </c>
      <c r="AM24" s="35">
        <f>IF(OR(B24="",N24=0),"-",IF(OR(O24="G",O24="D"),IF(O24="G","G","D"),COUNTIF($N$6:$N$45,"&gt;"&amp;N24)+1))</f>
        <v/>
      </c>
      <c r="AN24" s="35">
        <f>IF(OR(B24="",S24=0),"-",IF(OR(T24="G",T24="D"),IF(T24="G","G","D"),COUNTIF($S$6:$S$45,"&gt;"&amp;S24)+1))</f>
        <v/>
      </c>
      <c r="AO24" s="35">
        <f>IF(OR(B24="",X24=0),"-",IF(OR(Y24="G",Y24="D"),IF(Y24="G","G","D"),COUNTIF($X$6:$X$45,"&gt;"&amp;X24)+1))</f>
        <v/>
      </c>
      <c r="AP24" s="35">
        <f>IF(OR(B24="",AC24=0),"-",IF(OR(AD24="G",AD24="D"),IF(AD24="G","G","D"),COUNTIF($AC$6:$AC$45,"&gt;"&amp;AC24)+1))</f>
        <v/>
      </c>
      <c r="AQ24" s="35">
        <f>IF(OR(B24="",AH24=0),"-",IF(OR(AI24="G",AI24="D"),IF(AI24="G","G","D"),COUNTIF($AH$6:$AH$45,"&gt;"&amp;AH24)+1))</f>
        <v/>
      </c>
    </row>
    <row r="25">
      <c r="A25" s="38" t="n">
        <v>20</v>
      </c>
      <c r="B25" s="39" t="n"/>
      <c r="C25" s="39" t="n"/>
      <c r="D25" s="40" t="n"/>
      <c r="E25" s="41" t="n"/>
      <c r="F25" s="42" t="n"/>
      <c r="G25" s="42" t="n"/>
      <c r="H25" s="42" t="n"/>
      <c r="I25" s="34">
        <f>IF(OR(J25="G",J25="D"),0,IF(AND(F25="",G25=""),0,MAX(0,IFERROR(F25+0,0)+IFERROR(G25+0,0)-IFERROR(H25+0,0))))</f>
        <v/>
      </c>
      <c r="J25" s="43" t="n"/>
      <c r="K25" s="42" t="n"/>
      <c r="L25" s="42" t="n"/>
      <c r="M25" s="42" t="n"/>
      <c r="N25" s="34">
        <f>IF(OR(O25="G",O25="D"),0,IF(AND(K25="",L25=""),0,MAX(0,IFERROR(K25+0,0)+IFERROR(L25+0,0)-IFERROR(M25+0,0))))</f>
        <v/>
      </c>
      <c r="O25" s="43" t="n"/>
      <c r="P25" s="42" t="n"/>
      <c r="Q25" s="42" t="n"/>
      <c r="R25" s="42" t="n"/>
      <c r="S25" s="34">
        <f>IF(OR(T25="G",T25="D"),0,IF(AND(P25="",Q25=""),0,MAX(0,IFERROR(P25+0,0)+IFERROR(Q25+0,0)-IFERROR(R25+0,0))))</f>
        <v/>
      </c>
      <c r="T25" s="43" t="n"/>
      <c r="U25" s="42" t="n"/>
      <c r="V25" s="42" t="n"/>
      <c r="W25" s="42" t="n"/>
      <c r="X25" s="34">
        <f>IF(OR(Y25="G",Y25="D"),0,IF(AND(U25="",V25=""),0,MAX(0,IFERROR(U25+0,0)+IFERROR(V25+0,0)-IFERROR(W25+0,0))))</f>
        <v/>
      </c>
      <c r="Y25" s="43" t="n"/>
      <c r="Z25" s="42" t="n"/>
      <c r="AA25" s="42" t="n"/>
      <c r="AB25" s="42" t="n"/>
      <c r="AC25" s="34">
        <f>IF(OR(AD25="G",AD25="D"),0,IF(AND(Z25="",AA25=""),0,MAX(0,IFERROR(Z25+0,0)+IFERROR(AA25+0,0)-IFERROR(AB25+0,0))))</f>
        <v/>
      </c>
      <c r="AD25" s="43" t="n"/>
      <c r="AE25" s="42" t="n"/>
      <c r="AF25" s="42" t="n"/>
      <c r="AG25" s="42" t="n"/>
      <c r="AH25" s="34">
        <f>IF(OR(AI25="G",AI25="D"),0,IF(AND(AE25="",AF25=""),0,MAX(0,IFERROR(AE25+0,0)+IFERROR(AF25+0,0)-IFERROR(AG25+0,0))))</f>
        <v/>
      </c>
      <c r="AI25" s="43" t="n"/>
      <c r="AJ25" s="36">
        <f>IF(B25="","",IF(OR(J25="G",J25="D"),0,I25)+IF(OR(O25="G",O25="D"),0,N25)+IF(OR(T25="G",T25="D"),0,S25)+IF(OR(Y25="G",Y25="D"),0,X25)+IF(OR(AD25="G",AD25="D"),0,AC25)+IF(OR(AI25="G",AI25="D"),0,AH25))</f>
        <v/>
      </c>
      <c r="AK25" s="37">
        <f>IF(OR(B25="",AJ25=0),"-",RANK.EQ(AJ25,$AJ$6:$AJ$45,0))</f>
        <v/>
      </c>
      <c r="AL25" s="43">
        <f>IF(OR(B25="",I25=0),"-",IF(OR(J25="G",J25="D"),IF(J25="G","G","D"),COUNTIF($I$6:$I$45,"&gt;"&amp;I25)+1))</f>
        <v/>
      </c>
      <c r="AM25" s="43">
        <f>IF(OR(B25="",N25=0),"-",IF(OR(O25="G",O25="D"),IF(O25="G","G","D"),COUNTIF($N$6:$N$45,"&gt;"&amp;N25)+1))</f>
        <v/>
      </c>
      <c r="AN25" s="43">
        <f>IF(OR(B25="",S25=0),"-",IF(OR(T25="G",T25="D"),IF(T25="G","G","D"),COUNTIF($S$6:$S$45,"&gt;"&amp;S25)+1))</f>
        <v/>
      </c>
      <c r="AO25" s="43">
        <f>IF(OR(B25="",X25=0),"-",IF(OR(Y25="G",Y25="D"),IF(Y25="G","G","D"),COUNTIF($X$6:$X$45,"&gt;"&amp;X25)+1))</f>
        <v/>
      </c>
      <c r="AP25" s="43">
        <f>IF(OR(B25="",AC25=0),"-",IF(OR(AD25="G",AD25="D"),IF(AD25="G","G","D"),COUNTIF($AC$6:$AC$45,"&gt;"&amp;AC25)+1))</f>
        <v/>
      </c>
      <c r="AQ25" s="43">
        <f>IF(OR(B25="",AH25=0),"-",IF(OR(AI25="G",AI25="D"),IF(AI25="G","G","D"),COUNTIF($AH$6:$AH$45,"&gt;"&amp;AH25)+1))</f>
        <v/>
      </c>
    </row>
    <row r="26">
      <c r="A26" s="29" t="n">
        <v>21</v>
      </c>
      <c r="B26" s="30" t="n"/>
      <c r="C26" s="30" t="n"/>
      <c r="D26" s="31" t="n"/>
      <c r="E26" s="32" t="n"/>
      <c r="F26" s="33" t="n"/>
      <c r="G26" s="33" t="n"/>
      <c r="H26" s="33" t="n"/>
      <c r="I26" s="34">
        <f>IF(OR(J26="G",J26="D"),0,IF(AND(F26="",G26=""),0,MAX(0,IFERROR(F26+0,0)+IFERROR(G26+0,0)-IFERROR(H26+0,0))))</f>
        <v/>
      </c>
      <c r="J26" s="35" t="n"/>
      <c r="K26" s="33" t="n"/>
      <c r="L26" s="33" t="n"/>
      <c r="M26" s="33" t="n"/>
      <c r="N26" s="34">
        <f>IF(OR(O26="G",O26="D"),0,IF(AND(K26="",L26=""),0,MAX(0,IFERROR(K26+0,0)+IFERROR(L26+0,0)-IFERROR(M26+0,0))))</f>
        <v/>
      </c>
      <c r="O26" s="35" t="n"/>
      <c r="P26" s="33" t="n"/>
      <c r="Q26" s="33" t="n"/>
      <c r="R26" s="33" t="n"/>
      <c r="S26" s="34">
        <f>IF(OR(T26="G",T26="D"),0,IF(AND(P26="",Q26=""),0,MAX(0,IFERROR(P26+0,0)+IFERROR(Q26+0,0)-IFERROR(R26+0,0))))</f>
        <v/>
      </c>
      <c r="T26" s="35" t="n"/>
      <c r="U26" s="33" t="n"/>
      <c r="V26" s="33" t="n"/>
      <c r="W26" s="33" t="n"/>
      <c r="X26" s="34">
        <f>IF(OR(Y26="G",Y26="D"),0,IF(AND(U26="",V26=""),0,MAX(0,IFERROR(U26+0,0)+IFERROR(V26+0,0)-IFERROR(W26+0,0))))</f>
        <v/>
      </c>
      <c r="Y26" s="35" t="n"/>
      <c r="Z26" s="33" t="n"/>
      <c r="AA26" s="33" t="n"/>
      <c r="AB26" s="33" t="n"/>
      <c r="AC26" s="34">
        <f>IF(OR(AD26="G",AD26="D"),0,IF(AND(Z26="",AA26=""),0,MAX(0,IFERROR(Z26+0,0)+IFERROR(AA26+0,0)-IFERROR(AB26+0,0))))</f>
        <v/>
      </c>
      <c r="AD26" s="35" t="n"/>
      <c r="AE26" s="33" t="n"/>
      <c r="AF26" s="33" t="n"/>
      <c r="AG26" s="33" t="n"/>
      <c r="AH26" s="34">
        <f>IF(OR(AI26="G",AI26="D"),0,IF(AND(AE26="",AF26=""),0,MAX(0,IFERROR(AE26+0,0)+IFERROR(AF26+0,0)-IFERROR(AG26+0,0))))</f>
        <v/>
      </c>
      <c r="AI26" s="35" t="n"/>
      <c r="AJ26" s="36">
        <f>IF(B26="","",IF(OR(J26="G",J26="D"),0,I26)+IF(OR(O26="G",O26="D"),0,N26)+IF(OR(T26="G",T26="D"),0,S26)+IF(OR(Y26="G",Y26="D"),0,X26)+IF(OR(AD26="G",AD26="D"),0,AC26)+IF(OR(AI26="G",AI26="D"),0,AH26))</f>
        <v/>
      </c>
      <c r="AK26" s="37">
        <f>IF(OR(B26="",AJ26=0),"-",RANK.EQ(AJ26,$AJ$6:$AJ$45,0))</f>
        <v/>
      </c>
      <c r="AL26" s="35">
        <f>IF(OR(B26="",I26=0),"-",IF(OR(J26="G",J26="D"),IF(J26="G","G","D"),COUNTIF($I$6:$I$45,"&gt;"&amp;I26)+1))</f>
        <v/>
      </c>
      <c r="AM26" s="35">
        <f>IF(OR(B26="",N26=0),"-",IF(OR(O26="G",O26="D"),IF(O26="G","G","D"),COUNTIF($N$6:$N$45,"&gt;"&amp;N26)+1))</f>
        <v/>
      </c>
      <c r="AN26" s="35">
        <f>IF(OR(B26="",S26=0),"-",IF(OR(T26="G",T26="D"),IF(T26="G","G","D"),COUNTIF($S$6:$S$45,"&gt;"&amp;S26)+1))</f>
        <v/>
      </c>
      <c r="AO26" s="35">
        <f>IF(OR(B26="",X26=0),"-",IF(OR(Y26="G",Y26="D"),IF(Y26="G","G","D"),COUNTIF($X$6:$X$45,"&gt;"&amp;X26)+1))</f>
        <v/>
      </c>
      <c r="AP26" s="35">
        <f>IF(OR(B26="",AC26=0),"-",IF(OR(AD26="G",AD26="D"),IF(AD26="G","G","D"),COUNTIF($AC$6:$AC$45,"&gt;"&amp;AC26)+1))</f>
        <v/>
      </c>
      <c r="AQ26" s="35">
        <f>IF(OR(B26="",AH26=0),"-",IF(OR(AI26="G",AI26="D"),IF(AI26="G","G","D"),COUNTIF($AH$6:$AH$45,"&gt;"&amp;AH26)+1))</f>
        <v/>
      </c>
    </row>
    <row r="27">
      <c r="A27" s="38" t="n">
        <v>22</v>
      </c>
      <c r="B27" s="39" t="n"/>
      <c r="C27" s="39" t="n"/>
      <c r="D27" s="40" t="n"/>
      <c r="E27" s="41" t="n"/>
      <c r="F27" s="42" t="n"/>
      <c r="G27" s="42" t="n"/>
      <c r="H27" s="42" t="n"/>
      <c r="I27" s="34">
        <f>IF(OR(J27="G",J27="D"),0,IF(AND(F27="",G27=""),0,MAX(0,IFERROR(F27+0,0)+IFERROR(G27+0,0)-IFERROR(H27+0,0))))</f>
        <v/>
      </c>
      <c r="J27" s="43" t="n"/>
      <c r="K27" s="42" t="n"/>
      <c r="L27" s="42" t="n"/>
      <c r="M27" s="42" t="n"/>
      <c r="N27" s="34">
        <f>IF(OR(O27="G",O27="D"),0,IF(AND(K27="",L27=""),0,MAX(0,IFERROR(K27+0,0)+IFERROR(L27+0,0)-IFERROR(M27+0,0))))</f>
        <v/>
      </c>
      <c r="O27" s="43" t="n"/>
      <c r="P27" s="42" t="n"/>
      <c r="Q27" s="42" t="n"/>
      <c r="R27" s="42" t="n"/>
      <c r="S27" s="34">
        <f>IF(OR(T27="G",T27="D"),0,IF(AND(P27="",Q27=""),0,MAX(0,IFERROR(P27+0,0)+IFERROR(Q27+0,0)-IFERROR(R27+0,0))))</f>
        <v/>
      </c>
      <c r="T27" s="43" t="n"/>
      <c r="U27" s="42" t="n"/>
      <c r="V27" s="42" t="n"/>
      <c r="W27" s="42" t="n"/>
      <c r="X27" s="34">
        <f>IF(OR(Y27="G",Y27="D"),0,IF(AND(U27="",V27=""),0,MAX(0,IFERROR(U27+0,0)+IFERROR(V27+0,0)-IFERROR(W27+0,0))))</f>
        <v/>
      </c>
      <c r="Y27" s="43" t="n"/>
      <c r="Z27" s="42" t="n"/>
      <c r="AA27" s="42" t="n"/>
      <c r="AB27" s="42" t="n"/>
      <c r="AC27" s="34">
        <f>IF(OR(AD27="G",AD27="D"),0,IF(AND(Z27="",AA27=""),0,MAX(0,IFERROR(Z27+0,0)+IFERROR(AA27+0,0)-IFERROR(AB27+0,0))))</f>
        <v/>
      </c>
      <c r="AD27" s="43" t="n"/>
      <c r="AE27" s="42" t="n"/>
      <c r="AF27" s="42" t="n"/>
      <c r="AG27" s="42" t="n"/>
      <c r="AH27" s="34">
        <f>IF(OR(AI27="G",AI27="D"),0,IF(AND(AE27="",AF27=""),0,MAX(0,IFERROR(AE27+0,0)+IFERROR(AF27+0,0)-IFERROR(AG27+0,0))))</f>
        <v/>
      </c>
      <c r="AI27" s="43" t="n"/>
      <c r="AJ27" s="36">
        <f>IF(B27="","",IF(OR(J27="G",J27="D"),0,I27)+IF(OR(O27="G",O27="D"),0,N27)+IF(OR(T27="G",T27="D"),0,S27)+IF(OR(Y27="G",Y27="D"),0,X27)+IF(OR(AD27="G",AD27="D"),0,AC27)+IF(OR(AI27="G",AI27="D"),0,AH27))</f>
        <v/>
      </c>
      <c r="AK27" s="37">
        <f>IF(OR(B27="",AJ27=0),"-",RANK.EQ(AJ27,$AJ$6:$AJ$45,0))</f>
        <v/>
      </c>
      <c r="AL27" s="43">
        <f>IF(OR(B27="",I27=0),"-",IF(OR(J27="G",J27="D"),IF(J27="G","G","D"),COUNTIF($I$6:$I$45,"&gt;"&amp;I27)+1))</f>
        <v/>
      </c>
      <c r="AM27" s="43">
        <f>IF(OR(B27="",N27=0),"-",IF(OR(O27="G",O27="D"),IF(O27="G","G","D"),COUNTIF($N$6:$N$45,"&gt;"&amp;N27)+1))</f>
        <v/>
      </c>
      <c r="AN27" s="43">
        <f>IF(OR(B27="",S27=0),"-",IF(OR(T27="G",T27="D"),IF(T27="G","G","D"),COUNTIF($S$6:$S$45,"&gt;"&amp;S27)+1))</f>
        <v/>
      </c>
      <c r="AO27" s="43">
        <f>IF(OR(B27="",X27=0),"-",IF(OR(Y27="G",Y27="D"),IF(Y27="G","G","D"),COUNTIF($X$6:$X$45,"&gt;"&amp;X27)+1))</f>
        <v/>
      </c>
      <c r="AP27" s="43">
        <f>IF(OR(B27="",AC27=0),"-",IF(OR(AD27="G",AD27="D"),IF(AD27="G","G","D"),COUNTIF($AC$6:$AC$45,"&gt;"&amp;AC27)+1))</f>
        <v/>
      </c>
      <c r="AQ27" s="43">
        <f>IF(OR(B27="",AH27=0),"-",IF(OR(AI27="G",AI27="D"),IF(AI27="G","G","D"),COUNTIF($AH$6:$AH$45,"&gt;"&amp;AH27)+1))</f>
        <v/>
      </c>
    </row>
    <row r="28">
      <c r="A28" s="29" t="n">
        <v>23</v>
      </c>
      <c r="B28" s="30" t="n"/>
      <c r="C28" s="30" t="n"/>
      <c r="D28" s="31" t="n"/>
      <c r="E28" s="32" t="n"/>
      <c r="F28" s="33" t="n"/>
      <c r="G28" s="33" t="n"/>
      <c r="H28" s="33" t="n"/>
      <c r="I28" s="34">
        <f>IF(OR(J28="G",J28="D"),0,IF(AND(F28="",G28=""),0,MAX(0,IFERROR(F28+0,0)+IFERROR(G28+0,0)-IFERROR(H28+0,0))))</f>
        <v/>
      </c>
      <c r="J28" s="35" t="n"/>
      <c r="K28" s="33" t="n"/>
      <c r="L28" s="33" t="n"/>
      <c r="M28" s="33" t="n"/>
      <c r="N28" s="34">
        <f>IF(OR(O28="G",O28="D"),0,IF(AND(K28="",L28=""),0,MAX(0,IFERROR(K28+0,0)+IFERROR(L28+0,0)-IFERROR(M28+0,0))))</f>
        <v/>
      </c>
      <c r="O28" s="35" t="n"/>
      <c r="P28" s="33" t="n"/>
      <c r="Q28" s="33" t="n"/>
      <c r="R28" s="33" t="n"/>
      <c r="S28" s="34">
        <f>IF(OR(T28="G",T28="D"),0,IF(AND(P28="",Q28=""),0,MAX(0,IFERROR(P28+0,0)+IFERROR(Q28+0,0)-IFERROR(R28+0,0))))</f>
        <v/>
      </c>
      <c r="T28" s="35" t="n"/>
      <c r="U28" s="33" t="n"/>
      <c r="V28" s="33" t="n"/>
      <c r="W28" s="33" t="n"/>
      <c r="X28" s="34">
        <f>IF(OR(Y28="G",Y28="D"),0,IF(AND(U28="",V28=""),0,MAX(0,IFERROR(U28+0,0)+IFERROR(V28+0,0)-IFERROR(W28+0,0))))</f>
        <v/>
      </c>
      <c r="Y28" s="35" t="n"/>
      <c r="Z28" s="33" t="n"/>
      <c r="AA28" s="33" t="n"/>
      <c r="AB28" s="33" t="n"/>
      <c r="AC28" s="34">
        <f>IF(OR(AD28="G",AD28="D"),0,IF(AND(Z28="",AA28=""),0,MAX(0,IFERROR(Z28+0,0)+IFERROR(AA28+0,0)-IFERROR(AB28+0,0))))</f>
        <v/>
      </c>
      <c r="AD28" s="35" t="n"/>
      <c r="AE28" s="33" t="n"/>
      <c r="AF28" s="33" t="n"/>
      <c r="AG28" s="33" t="n"/>
      <c r="AH28" s="34">
        <f>IF(OR(AI28="G",AI28="D"),0,IF(AND(AE28="",AF28=""),0,MAX(0,IFERROR(AE28+0,0)+IFERROR(AF28+0,0)-IFERROR(AG28+0,0))))</f>
        <v/>
      </c>
      <c r="AI28" s="35" t="n"/>
      <c r="AJ28" s="36">
        <f>IF(B28="","",IF(OR(J28="G",J28="D"),0,I28)+IF(OR(O28="G",O28="D"),0,N28)+IF(OR(T28="G",T28="D"),0,S28)+IF(OR(Y28="G",Y28="D"),0,X28)+IF(OR(AD28="G",AD28="D"),0,AC28)+IF(OR(AI28="G",AI28="D"),0,AH28))</f>
        <v/>
      </c>
      <c r="AK28" s="37">
        <f>IF(OR(B28="",AJ28=0),"-",RANK.EQ(AJ28,$AJ$6:$AJ$45,0))</f>
        <v/>
      </c>
      <c r="AL28" s="35">
        <f>IF(OR(B28="",I28=0),"-",IF(OR(J28="G",J28="D"),IF(J28="G","G","D"),COUNTIF($I$6:$I$45,"&gt;"&amp;I28)+1))</f>
        <v/>
      </c>
      <c r="AM28" s="35">
        <f>IF(OR(B28="",N28=0),"-",IF(OR(O28="G",O28="D"),IF(O28="G","G","D"),COUNTIF($N$6:$N$45,"&gt;"&amp;N28)+1))</f>
        <v/>
      </c>
      <c r="AN28" s="35">
        <f>IF(OR(B28="",S28=0),"-",IF(OR(T28="G",T28="D"),IF(T28="G","G","D"),COUNTIF($S$6:$S$45,"&gt;"&amp;S28)+1))</f>
        <v/>
      </c>
      <c r="AO28" s="35">
        <f>IF(OR(B28="",X28=0),"-",IF(OR(Y28="G",Y28="D"),IF(Y28="G","G","D"),COUNTIF($X$6:$X$45,"&gt;"&amp;X28)+1))</f>
        <v/>
      </c>
      <c r="AP28" s="35">
        <f>IF(OR(B28="",AC28=0),"-",IF(OR(AD28="G",AD28="D"),IF(AD28="G","G","D"),COUNTIF($AC$6:$AC$45,"&gt;"&amp;AC28)+1))</f>
        <v/>
      </c>
      <c r="AQ28" s="35">
        <f>IF(OR(B28="",AH28=0),"-",IF(OR(AI28="G",AI28="D"),IF(AI28="G","G","D"),COUNTIF($AH$6:$AH$45,"&gt;"&amp;AH28)+1))</f>
        <v/>
      </c>
    </row>
    <row r="29">
      <c r="A29" s="38" t="n">
        <v>24</v>
      </c>
      <c r="B29" s="39" t="n"/>
      <c r="C29" s="39" t="n"/>
      <c r="D29" s="40" t="n"/>
      <c r="E29" s="41" t="n"/>
      <c r="F29" s="42" t="n"/>
      <c r="G29" s="42" t="n"/>
      <c r="H29" s="42" t="n"/>
      <c r="I29" s="34">
        <f>IF(OR(J29="G",J29="D"),0,IF(AND(F29="",G29=""),0,MAX(0,IFERROR(F29+0,0)+IFERROR(G29+0,0)-IFERROR(H29+0,0))))</f>
        <v/>
      </c>
      <c r="J29" s="43" t="n"/>
      <c r="K29" s="42" t="n"/>
      <c r="L29" s="42" t="n"/>
      <c r="M29" s="42" t="n"/>
      <c r="N29" s="34">
        <f>IF(OR(O29="G",O29="D"),0,IF(AND(K29="",L29=""),0,MAX(0,IFERROR(K29+0,0)+IFERROR(L29+0,0)-IFERROR(M29+0,0))))</f>
        <v/>
      </c>
      <c r="O29" s="43" t="n"/>
      <c r="P29" s="42" t="n"/>
      <c r="Q29" s="42" t="n"/>
      <c r="R29" s="42" t="n"/>
      <c r="S29" s="34">
        <f>IF(OR(T29="G",T29="D"),0,IF(AND(P29="",Q29=""),0,MAX(0,IFERROR(P29+0,0)+IFERROR(Q29+0,0)-IFERROR(R29+0,0))))</f>
        <v/>
      </c>
      <c r="T29" s="43" t="n"/>
      <c r="U29" s="42" t="n"/>
      <c r="V29" s="42" t="n"/>
      <c r="W29" s="42" t="n"/>
      <c r="X29" s="34">
        <f>IF(OR(Y29="G",Y29="D"),0,IF(AND(U29="",V29=""),0,MAX(0,IFERROR(U29+0,0)+IFERROR(V29+0,0)-IFERROR(W29+0,0))))</f>
        <v/>
      </c>
      <c r="Y29" s="43" t="n"/>
      <c r="Z29" s="42" t="n"/>
      <c r="AA29" s="42" t="n"/>
      <c r="AB29" s="42" t="n"/>
      <c r="AC29" s="34">
        <f>IF(OR(AD29="G",AD29="D"),0,IF(AND(Z29="",AA29=""),0,MAX(0,IFERROR(Z29+0,0)+IFERROR(AA29+0,0)-IFERROR(AB29+0,0))))</f>
        <v/>
      </c>
      <c r="AD29" s="43" t="n"/>
      <c r="AE29" s="42" t="n"/>
      <c r="AF29" s="42" t="n"/>
      <c r="AG29" s="42" t="n"/>
      <c r="AH29" s="34">
        <f>IF(OR(AI29="G",AI29="D"),0,IF(AND(AE29="",AF29=""),0,MAX(0,IFERROR(AE29+0,0)+IFERROR(AF29+0,0)-IFERROR(AG29+0,0))))</f>
        <v/>
      </c>
      <c r="AI29" s="43" t="n"/>
      <c r="AJ29" s="36">
        <f>IF(B29="","",IF(OR(J29="G",J29="D"),0,I29)+IF(OR(O29="G",O29="D"),0,N29)+IF(OR(T29="G",T29="D"),0,S29)+IF(OR(Y29="G",Y29="D"),0,X29)+IF(OR(AD29="G",AD29="D"),0,AC29)+IF(OR(AI29="G",AI29="D"),0,AH29))</f>
        <v/>
      </c>
      <c r="AK29" s="37">
        <f>IF(OR(B29="",AJ29=0),"-",RANK.EQ(AJ29,$AJ$6:$AJ$45,0))</f>
        <v/>
      </c>
      <c r="AL29" s="43">
        <f>IF(OR(B29="",I29=0),"-",IF(OR(J29="G",J29="D"),IF(J29="G","G","D"),COUNTIF($I$6:$I$45,"&gt;"&amp;I29)+1))</f>
        <v/>
      </c>
      <c r="AM29" s="43">
        <f>IF(OR(B29="",N29=0),"-",IF(OR(O29="G",O29="D"),IF(O29="G","G","D"),COUNTIF($N$6:$N$45,"&gt;"&amp;N29)+1))</f>
        <v/>
      </c>
      <c r="AN29" s="43">
        <f>IF(OR(B29="",S29=0),"-",IF(OR(T29="G",T29="D"),IF(T29="G","G","D"),COUNTIF($S$6:$S$45,"&gt;"&amp;S29)+1))</f>
        <v/>
      </c>
      <c r="AO29" s="43">
        <f>IF(OR(B29="",X29=0),"-",IF(OR(Y29="G",Y29="D"),IF(Y29="G","G","D"),COUNTIF($X$6:$X$45,"&gt;"&amp;X29)+1))</f>
        <v/>
      </c>
      <c r="AP29" s="43">
        <f>IF(OR(B29="",AC29=0),"-",IF(OR(AD29="G",AD29="D"),IF(AD29="G","G","D"),COUNTIF($AC$6:$AC$45,"&gt;"&amp;AC29)+1))</f>
        <v/>
      </c>
      <c r="AQ29" s="43">
        <f>IF(OR(B29="",AH29=0),"-",IF(OR(AI29="G",AI29="D"),IF(AI29="G","G","D"),COUNTIF($AH$6:$AH$45,"&gt;"&amp;AH29)+1))</f>
        <v/>
      </c>
    </row>
    <row r="30">
      <c r="A30" s="29" t="n">
        <v>25</v>
      </c>
      <c r="B30" s="30" t="n"/>
      <c r="C30" s="30" t="n"/>
      <c r="D30" s="31" t="n"/>
      <c r="E30" s="32" t="n"/>
      <c r="F30" s="33" t="n"/>
      <c r="G30" s="33" t="n"/>
      <c r="H30" s="33" t="n"/>
      <c r="I30" s="34">
        <f>IF(OR(J30="G",J30="D"),0,IF(AND(F30="",G30=""),0,MAX(0,IFERROR(F30+0,0)+IFERROR(G30+0,0)-IFERROR(H30+0,0))))</f>
        <v/>
      </c>
      <c r="J30" s="35" t="n"/>
      <c r="K30" s="33" t="n"/>
      <c r="L30" s="33" t="n"/>
      <c r="M30" s="33" t="n"/>
      <c r="N30" s="34">
        <f>IF(OR(O30="G",O30="D"),0,IF(AND(K30="",L30=""),0,MAX(0,IFERROR(K30+0,0)+IFERROR(L30+0,0)-IFERROR(M30+0,0))))</f>
        <v/>
      </c>
      <c r="O30" s="35" t="n"/>
      <c r="P30" s="33" t="n"/>
      <c r="Q30" s="33" t="n"/>
      <c r="R30" s="33" t="n"/>
      <c r="S30" s="34">
        <f>IF(OR(T30="G",T30="D"),0,IF(AND(P30="",Q30=""),0,MAX(0,IFERROR(P30+0,0)+IFERROR(Q30+0,0)-IFERROR(R30+0,0))))</f>
        <v/>
      </c>
      <c r="T30" s="35" t="n"/>
      <c r="U30" s="33" t="n"/>
      <c r="V30" s="33" t="n"/>
      <c r="W30" s="33" t="n"/>
      <c r="X30" s="34">
        <f>IF(OR(Y30="G",Y30="D"),0,IF(AND(U30="",V30=""),0,MAX(0,IFERROR(U30+0,0)+IFERROR(V30+0,0)-IFERROR(W30+0,0))))</f>
        <v/>
      </c>
      <c r="Y30" s="35" t="n"/>
      <c r="Z30" s="33" t="n"/>
      <c r="AA30" s="33" t="n"/>
      <c r="AB30" s="33" t="n"/>
      <c r="AC30" s="34">
        <f>IF(OR(AD30="G",AD30="D"),0,IF(AND(Z30="",AA30=""),0,MAX(0,IFERROR(Z30+0,0)+IFERROR(AA30+0,0)-IFERROR(AB30+0,0))))</f>
        <v/>
      </c>
      <c r="AD30" s="35" t="n"/>
      <c r="AE30" s="33" t="n"/>
      <c r="AF30" s="33" t="n"/>
      <c r="AG30" s="33" t="n"/>
      <c r="AH30" s="34">
        <f>IF(OR(AI30="G",AI30="D"),0,IF(AND(AE30="",AF30=""),0,MAX(0,IFERROR(AE30+0,0)+IFERROR(AF30+0,0)-IFERROR(AG30+0,0))))</f>
        <v/>
      </c>
      <c r="AI30" s="35" t="n"/>
      <c r="AJ30" s="36">
        <f>IF(B30="","",IF(OR(J30="G",J30="D"),0,I30)+IF(OR(O30="G",O30="D"),0,N30)+IF(OR(T30="G",T30="D"),0,S30)+IF(OR(Y30="G",Y30="D"),0,X30)+IF(OR(AD30="G",AD30="D"),0,AC30)+IF(OR(AI30="G",AI30="D"),0,AH30))</f>
        <v/>
      </c>
      <c r="AK30" s="37">
        <f>IF(OR(B30="",AJ30=0),"-",RANK.EQ(AJ30,$AJ$6:$AJ$45,0))</f>
        <v/>
      </c>
      <c r="AL30" s="35">
        <f>IF(OR(B30="",I30=0),"-",IF(OR(J30="G",J30="D"),IF(J30="G","G","D"),COUNTIF($I$6:$I$45,"&gt;"&amp;I30)+1))</f>
        <v/>
      </c>
      <c r="AM30" s="35">
        <f>IF(OR(B30="",N30=0),"-",IF(OR(O30="G",O30="D"),IF(O30="G","G","D"),COUNTIF($N$6:$N$45,"&gt;"&amp;N30)+1))</f>
        <v/>
      </c>
      <c r="AN30" s="35">
        <f>IF(OR(B30="",S30=0),"-",IF(OR(T30="G",T30="D"),IF(T30="G","G","D"),COUNTIF($S$6:$S$45,"&gt;"&amp;S30)+1))</f>
        <v/>
      </c>
      <c r="AO30" s="35">
        <f>IF(OR(B30="",X30=0),"-",IF(OR(Y30="G",Y30="D"),IF(Y30="G","G","D"),COUNTIF($X$6:$X$45,"&gt;"&amp;X30)+1))</f>
        <v/>
      </c>
      <c r="AP30" s="35">
        <f>IF(OR(B30="",AC30=0),"-",IF(OR(AD30="G",AD30="D"),IF(AD30="G","G","D"),COUNTIF($AC$6:$AC$45,"&gt;"&amp;AC30)+1))</f>
        <v/>
      </c>
      <c r="AQ30" s="35">
        <f>IF(OR(B30="",AH30=0),"-",IF(OR(AI30="G",AI30="D"),IF(AI30="G","G","D"),COUNTIF($AH$6:$AH$45,"&gt;"&amp;AH30)+1))</f>
        <v/>
      </c>
    </row>
    <row r="31">
      <c r="A31" s="38" t="n">
        <v>26</v>
      </c>
      <c r="B31" s="39" t="n"/>
      <c r="C31" s="39" t="n"/>
      <c r="D31" s="40" t="n"/>
      <c r="E31" s="41" t="n"/>
      <c r="F31" s="42" t="n"/>
      <c r="G31" s="42" t="n"/>
      <c r="H31" s="42" t="n"/>
      <c r="I31" s="34">
        <f>IF(OR(J31="G",J31="D"),0,IF(AND(F31="",G31=""),0,MAX(0,IFERROR(F31+0,0)+IFERROR(G31+0,0)-IFERROR(H31+0,0))))</f>
        <v/>
      </c>
      <c r="J31" s="43" t="n"/>
      <c r="K31" s="42" t="n"/>
      <c r="L31" s="42" t="n"/>
      <c r="M31" s="42" t="n"/>
      <c r="N31" s="34">
        <f>IF(OR(O31="G",O31="D"),0,IF(AND(K31="",L31=""),0,MAX(0,IFERROR(K31+0,0)+IFERROR(L31+0,0)-IFERROR(M31+0,0))))</f>
        <v/>
      </c>
      <c r="O31" s="43" t="n"/>
      <c r="P31" s="42" t="n"/>
      <c r="Q31" s="42" t="n"/>
      <c r="R31" s="42" t="n"/>
      <c r="S31" s="34">
        <f>IF(OR(T31="G",T31="D"),0,IF(AND(P31="",Q31=""),0,MAX(0,IFERROR(P31+0,0)+IFERROR(Q31+0,0)-IFERROR(R31+0,0))))</f>
        <v/>
      </c>
      <c r="T31" s="43" t="n"/>
      <c r="U31" s="42" t="n"/>
      <c r="V31" s="42" t="n"/>
      <c r="W31" s="42" t="n"/>
      <c r="X31" s="34">
        <f>IF(OR(Y31="G",Y31="D"),0,IF(AND(U31="",V31=""),0,MAX(0,IFERROR(U31+0,0)+IFERROR(V31+0,0)-IFERROR(W31+0,0))))</f>
        <v/>
      </c>
      <c r="Y31" s="43" t="n"/>
      <c r="Z31" s="42" t="n"/>
      <c r="AA31" s="42" t="n"/>
      <c r="AB31" s="42" t="n"/>
      <c r="AC31" s="34">
        <f>IF(OR(AD31="G",AD31="D"),0,IF(AND(Z31="",AA31=""),0,MAX(0,IFERROR(Z31+0,0)+IFERROR(AA31+0,0)-IFERROR(AB31+0,0))))</f>
        <v/>
      </c>
      <c r="AD31" s="43" t="n"/>
      <c r="AE31" s="42" t="n"/>
      <c r="AF31" s="42" t="n"/>
      <c r="AG31" s="42" t="n"/>
      <c r="AH31" s="34">
        <f>IF(OR(AI31="G",AI31="D"),0,IF(AND(AE31="",AF31=""),0,MAX(0,IFERROR(AE31+0,0)+IFERROR(AF31+0,0)-IFERROR(AG31+0,0))))</f>
        <v/>
      </c>
      <c r="AI31" s="43" t="n"/>
      <c r="AJ31" s="36">
        <f>IF(B31="","",IF(OR(J31="G",J31="D"),0,I31)+IF(OR(O31="G",O31="D"),0,N31)+IF(OR(T31="G",T31="D"),0,S31)+IF(OR(Y31="G",Y31="D"),0,X31)+IF(OR(AD31="G",AD31="D"),0,AC31)+IF(OR(AI31="G",AI31="D"),0,AH31))</f>
        <v/>
      </c>
      <c r="AK31" s="37">
        <f>IF(OR(B31="",AJ31=0),"-",RANK.EQ(AJ31,$AJ$6:$AJ$45,0))</f>
        <v/>
      </c>
      <c r="AL31" s="43">
        <f>IF(OR(B31="",I31=0),"-",IF(OR(J31="G",J31="D"),IF(J31="G","G","D"),COUNTIF($I$6:$I$45,"&gt;"&amp;I31)+1))</f>
        <v/>
      </c>
      <c r="AM31" s="43">
        <f>IF(OR(B31="",N31=0),"-",IF(OR(O31="G",O31="D"),IF(O31="G","G","D"),COUNTIF($N$6:$N$45,"&gt;"&amp;N31)+1))</f>
        <v/>
      </c>
      <c r="AN31" s="43">
        <f>IF(OR(B31="",S31=0),"-",IF(OR(T31="G",T31="D"),IF(T31="G","G","D"),COUNTIF($S$6:$S$45,"&gt;"&amp;S31)+1))</f>
        <v/>
      </c>
      <c r="AO31" s="43">
        <f>IF(OR(B31="",X31=0),"-",IF(OR(Y31="G",Y31="D"),IF(Y31="G","G","D"),COUNTIF($X$6:$X$45,"&gt;"&amp;X31)+1))</f>
        <v/>
      </c>
      <c r="AP31" s="43">
        <f>IF(OR(B31="",AC31=0),"-",IF(OR(AD31="G",AD31="D"),IF(AD31="G","G","D"),COUNTIF($AC$6:$AC$45,"&gt;"&amp;AC31)+1))</f>
        <v/>
      </c>
      <c r="AQ31" s="43">
        <f>IF(OR(B31="",AH31=0),"-",IF(OR(AI31="G",AI31="D"),IF(AI31="G","G","D"),COUNTIF($AH$6:$AH$45,"&gt;"&amp;AH31)+1))</f>
        <v/>
      </c>
    </row>
    <row r="32">
      <c r="A32" s="29" t="n">
        <v>27</v>
      </c>
      <c r="B32" s="30" t="n"/>
      <c r="C32" s="30" t="n"/>
      <c r="D32" s="31" t="n"/>
      <c r="E32" s="32" t="n"/>
      <c r="F32" s="33" t="n"/>
      <c r="G32" s="33" t="n"/>
      <c r="H32" s="33" t="n"/>
      <c r="I32" s="34">
        <f>IF(OR(J32="G",J32="D"),0,IF(AND(F32="",G32=""),0,MAX(0,IFERROR(F32+0,0)+IFERROR(G32+0,0)-IFERROR(H32+0,0))))</f>
        <v/>
      </c>
      <c r="J32" s="35" t="n"/>
      <c r="K32" s="33" t="n"/>
      <c r="L32" s="33" t="n"/>
      <c r="M32" s="33" t="n"/>
      <c r="N32" s="34">
        <f>IF(OR(O32="G",O32="D"),0,IF(AND(K32="",L32=""),0,MAX(0,IFERROR(K32+0,0)+IFERROR(L32+0,0)-IFERROR(M32+0,0))))</f>
        <v/>
      </c>
      <c r="O32" s="35" t="n"/>
      <c r="P32" s="33" t="n"/>
      <c r="Q32" s="33" t="n"/>
      <c r="R32" s="33" t="n"/>
      <c r="S32" s="34">
        <f>IF(OR(T32="G",T32="D"),0,IF(AND(P32="",Q32=""),0,MAX(0,IFERROR(P32+0,0)+IFERROR(Q32+0,0)-IFERROR(R32+0,0))))</f>
        <v/>
      </c>
      <c r="T32" s="35" t="n"/>
      <c r="U32" s="33" t="n"/>
      <c r="V32" s="33" t="n"/>
      <c r="W32" s="33" t="n"/>
      <c r="X32" s="34">
        <f>IF(OR(Y32="G",Y32="D"),0,IF(AND(U32="",V32=""),0,MAX(0,IFERROR(U32+0,0)+IFERROR(V32+0,0)-IFERROR(W32+0,0))))</f>
        <v/>
      </c>
      <c r="Y32" s="35" t="n"/>
      <c r="Z32" s="33" t="n"/>
      <c r="AA32" s="33" t="n"/>
      <c r="AB32" s="33" t="n"/>
      <c r="AC32" s="34">
        <f>IF(OR(AD32="G",AD32="D"),0,IF(AND(Z32="",AA32=""),0,MAX(0,IFERROR(Z32+0,0)+IFERROR(AA32+0,0)-IFERROR(AB32+0,0))))</f>
        <v/>
      </c>
      <c r="AD32" s="35" t="n"/>
      <c r="AE32" s="33" t="n"/>
      <c r="AF32" s="33" t="n"/>
      <c r="AG32" s="33" t="n"/>
      <c r="AH32" s="34">
        <f>IF(OR(AI32="G",AI32="D"),0,IF(AND(AE32="",AF32=""),0,MAX(0,IFERROR(AE32+0,0)+IFERROR(AF32+0,0)-IFERROR(AG32+0,0))))</f>
        <v/>
      </c>
      <c r="AI32" s="35" t="n"/>
      <c r="AJ32" s="36">
        <f>IF(B32="","",IF(OR(J32="G",J32="D"),0,I32)+IF(OR(O32="G",O32="D"),0,N32)+IF(OR(T32="G",T32="D"),0,S32)+IF(OR(Y32="G",Y32="D"),0,X32)+IF(OR(AD32="G",AD32="D"),0,AC32)+IF(OR(AI32="G",AI32="D"),0,AH32))</f>
        <v/>
      </c>
      <c r="AK32" s="37">
        <f>IF(OR(B32="",AJ32=0),"-",RANK.EQ(AJ32,$AJ$6:$AJ$45,0))</f>
        <v/>
      </c>
      <c r="AL32" s="35">
        <f>IF(OR(B32="",I32=0),"-",IF(OR(J32="G",J32="D"),IF(J32="G","G","D"),COUNTIF($I$6:$I$45,"&gt;"&amp;I32)+1))</f>
        <v/>
      </c>
      <c r="AM32" s="35">
        <f>IF(OR(B32="",N32=0),"-",IF(OR(O32="G",O32="D"),IF(O32="G","G","D"),COUNTIF($N$6:$N$45,"&gt;"&amp;N32)+1))</f>
        <v/>
      </c>
      <c r="AN32" s="35">
        <f>IF(OR(B32="",S32=0),"-",IF(OR(T32="G",T32="D"),IF(T32="G","G","D"),COUNTIF($S$6:$S$45,"&gt;"&amp;S32)+1))</f>
        <v/>
      </c>
      <c r="AO32" s="35">
        <f>IF(OR(B32="",X32=0),"-",IF(OR(Y32="G",Y32="D"),IF(Y32="G","G","D"),COUNTIF($X$6:$X$45,"&gt;"&amp;X32)+1))</f>
        <v/>
      </c>
      <c r="AP32" s="35">
        <f>IF(OR(B32="",AC32=0),"-",IF(OR(AD32="G",AD32="D"),IF(AD32="G","G","D"),COUNTIF($AC$6:$AC$45,"&gt;"&amp;AC32)+1))</f>
        <v/>
      </c>
      <c r="AQ32" s="35">
        <f>IF(OR(B32="",AH32=0),"-",IF(OR(AI32="G",AI32="D"),IF(AI32="G","G","D"),COUNTIF($AH$6:$AH$45,"&gt;"&amp;AH32)+1))</f>
        <v/>
      </c>
    </row>
    <row r="33">
      <c r="A33" s="38" t="n">
        <v>28</v>
      </c>
      <c r="B33" s="39" t="n"/>
      <c r="C33" s="39" t="n"/>
      <c r="D33" s="40" t="n"/>
      <c r="E33" s="41" t="n"/>
      <c r="F33" s="42" t="n"/>
      <c r="G33" s="42" t="n"/>
      <c r="H33" s="42" t="n"/>
      <c r="I33" s="34">
        <f>IF(OR(J33="G",J33="D"),0,IF(AND(F33="",G33=""),0,MAX(0,IFERROR(F33+0,0)+IFERROR(G33+0,0)-IFERROR(H33+0,0))))</f>
        <v/>
      </c>
      <c r="J33" s="43" t="n"/>
      <c r="K33" s="42" t="n"/>
      <c r="L33" s="42" t="n"/>
      <c r="M33" s="42" t="n"/>
      <c r="N33" s="34">
        <f>IF(OR(O33="G",O33="D"),0,IF(AND(K33="",L33=""),0,MAX(0,IFERROR(K33+0,0)+IFERROR(L33+0,0)-IFERROR(M33+0,0))))</f>
        <v/>
      </c>
      <c r="O33" s="43" t="n"/>
      <c r="P33" s="42" t="n"/>
      <c r="Q33" s="42" t="n"/>
      <c r="R33" s="42" t="n"/>
      <c r="S33" s="34">
        <f>IF(OR(T33="G",T33="D"),0,IF(AND(P33="",Q33=""),0,MAX(0,IFERROR(P33+0,0)+IFERROR(Q33+0,0)-IFERROR(R33+0,0))))</f>
        <v/>
      </c>
      <c r="T33" s="43" t="n"/>
      <c r="U33" s="42" t="n"/>
      <c r="V33" s="42" t="n"/>
      <c r="W33" s="42" t="n"/>
      <c r="X33" s="34">
        <f>IF(OR(Y33="G",Y33="D"),0,IF(AND(U33="",V33=""),0,MAX(0,IFERROR(U33+0,0)+IFERROR(V33+0,0)-IFERROR(W33+0,0))))</f>
        <v/>
      </c>
      <c r="Y33" s="43" t="n"/>
      <c r="Z33" s="42" t="n"/>
      <c r="AA33" s="42" t="n"/>
      <c r="AB33" s="42" t="n"/>
      <c r="AC33" s="34">
        <f>IF(OR(AD33="G",AD33="D"),0,IF(AND(Z33="",AA33=""),0,MAX(0,IFERROR(Z33+0,0)+IFERROR(AA33+0,0)-IFERROR(AB33+0,0))))</f>
        <v/>
      </c>
      <c r="AD33" s="43" t="n"/>
      <c r="AE33" s="42" t="n"/>
      <c r="AF33" s="42" t="n"/>
      <c r="AG33" s="42" t="n"/>
      <c r="AH33" s="34">
        <f>IF(OR(AI33="G",AI33="D"),0,IF(AND(AE33="",AF33=""),0,MAX(0,IFERROR(AE33+0,0)+IFERROR(AF33+0,0)-IFERROR(AG33+0,0))))</f>
        <v/>
      </c>
      <c r="AI33" s="43" t="n"/>
      <c r="AJ33" s="36">
        <f>IF(B33="","",IF(OR(J33="G",J33="D"),0,I33)+IF(OR(O33="G",O33="D"),0,N33)+IF(OR(T33="G",T33="D"),0,S33)+IF(OR(Y33="G",Y33="D"),0,X33)+IF(OR(AD33="G",AD33="D"),0,AC33)+IF(OR(AI33="G",AI33="D"),0,AH33))</f>
        <v/>
      </c>
      <c r="AK33" s="37">
        <f>IF(OR(B33="",AJ33=0),"-",RANK.EQ(AJ33,$AJ$6:$AJ$45,0))</f>
        <v/>
      </c>
      <c r="AL33" s="43">
        <f>IF(OR(B33="",I33=0),"-",IF(OR(J33="G",J33="D"),IF(J33="G","G","D"),COUNTIF($I$6:$I$45,"&gt;"&amp;I33)+1))</f>
        <v/>
      </c>
      <c r="AM33" s="43">
        <f>IF(OR(B33="",N33=0),"-",IF(OR(O33="G",O33="D"),IF(O33="G","G","D"),COUNTIF($N$6:$N$45,"&gt;"&amp;N33)+1))</f>
        <v/>
      </c>
      <c r="AN33" s="43">
        <f>IF(OR(B33="",S33=0),"-",IF(OR(T33="G",T33="D"),IF(T33="G","G","D"),COUNTIF($S$6:$S$45,"&gt;"&amp;S33)+1))</f>
        <v/>
      </c>
      <c r="AO33" s="43">
        <f>IF(OR(B33="",X33=0),"-",IF(OR(Y33="G",Y33="D"),IF(Y33="G","G","D"),COUNTIF($X$6:$X$45,"&gt;"&amp;X33)+1))</f>
        <v/>
      </c>
      <c r="AP33" s="43">
        <f>IF(OR(B33="",AC33=0),"-",IF(OR(AD33="G",AD33="D"),IF(AD33="G","G","D"),COUNTIF($AC$6:$AC$45,"&gt;"&amp;AC33)+1))</f>
        <v/>
      </c>
      <c r="AQ33" s="43">
        <f>IF(OR(B33="",AH33=0),"-",IF(OR(AI33="G",AI33="D"),IF(AI33="G","G","D"),COUNTIF($AH$6:$AH$45,"&gt;"&amp;AH33)+1))</f>
        <v/>
      </c>
    </row>
    <row r="34">
      <c r="A34" s="29" t="n">
        <v>29</v>
      </c>
      <c r="B34" s="30" t="n"/>
      <c r="C34" s="30" t="n"/>
      <c r="D34" s="31" t="n"/>
      <c r="E34" s="32" t="n"/>
      <c r="F34" s="33" t="n"/>
      <c r="G34" s="33" t="n"/>
      <c r="H34" s="33" t="n"/>
      <c r="I34" s="34">
        <f>IF(OR(J34="G",J34="D"),0,IF(AND(F34="",G34=""),0,MAX(0,IFERROR(F34+0,0)+IFERROR(G34+0,0)-IFERROR(H34+0,0))))</f>
        <v/>
      </c>
      <c r="J34" s="35" t="n"/>
      <c r="K34" s="33" t="n"/>
      <c r="L34" s="33" t="n"/>
      <c r="M34" s="33" t="n"/>
      <c r="N34" s="34">
        <f>IF(OR(O34="G",O34="D"),0,IF(AND(K34="",L34=""),0,MAX(0,IFERROR(K34+0,0)+IFERROR(L34+0,0)-IFERROR(M34+0,0))))</f>
        <v/>
      </c>
      <c r="O34" s="35" t="n"/>
      <c r="P34" s="33" t="n"/>
      <c r="Q34" s="33" t="n"/>
      <c r="R34" s="33" t="n"/>
      <c r="S34" s="34">
        <f>IF(OR(T34="G",T34="D"),0,IF(AND(P34="",Q34=""),0,MAX(0,IFERROR(P34+0,0)+IFERROR(Q34+0,0)-IFERROR(R34+0,0))))</f>
        <v/>
      </c>
      <c r="T34" s="35" t="n"/>
      <c r="U34" s="33" t="n"/>
      <c r="V34" s="33" t="n"/>
      <c r="W34" s="33" t="n"/>
      <c r="X34" s="34">
        <f>IF(OR(Y34="G",Y34="D"),0,IF(AND(U34="",V34=""),0,MAX(0,IFERROR(U34+0,0)+IFERROR(V34+0,0)-IFERROR(W34+0,0))))</f>
        <v/>
      </c>
      <c r="Y34" s="35" t="n"/>
      <c r="Z34" s="33" t="n"/>
      <c r="AA34" s="33" t="n"/>
      <c r="AB34" s="33" t="n"/>
      <c r="AC34" s="34">
        <f>IF(OR(AD34="G",AD34="D"),0,IF(AND(Z34="",AA34=""),0,MAX(0,IFERROR(Z34+0,0)+IFERROR(AA34+0,0)-IFERROR(AB34+0,0))))</f>
        <v/>
      </c>
      <c r="AD34" s="35" t="n"/>
      <c r="AE34" s="33" t="n"/>
      <c r="AF34" s="33" t="n"/>
      <c r="AG34" s="33" t="n"/>
      <c r="AH34" s="34">
        <f>IF(OR(AI34="G",AI34="D"),0,IF(AND(AE34="",AF34=""),0,MAX(0,IFERROR(AE34+0,0)+IFERROR(AF34+0,0)-IFERROR(AG34+0,0))))</f>
        <v/>
      </c>
      <c r="AI34" s="35" t="n"/>
      <c r="AJ34" s="36">
        <f>IF(B34="","",IF(OR(J34="G",J34="D"),0,I34)+IF(OR(O34="G",O34="D"),0,N34)+IF(OR(T34="G",T34="D"),0,S34)+IF(OR(Y34="G",Y34="D"),0,X34)+IF(OR(AD34="G",AD34="D"),0,AC34)+IF(OR(AI34="G",AI34="D"),0,AH34))</f>
        <v/>
      </c>
      <c r="AK34" s="37">
        <f>IF(OR(B34="",AJ34=0),"-",RANK.EQ(AJ34,$AJ$6:$AJ$45,0))</f>
        <v/>
      </c>
      <c r="AL34" s="35">
        <f>IF(OR(B34="",I34=0),"-",IF(OR(J34="G",J34="D"),IF(J34="G","G","D"),COUNTIF($I$6:$I$45,"&gt;"&amp;I34)+1))</f>
        <v/>
      </c>
      <c r="AM34" s="35">
        <f>IF(OR(B34="",N34=0),"-",IF(OR(O34="G",O34="D"),IF(O34="G","G","D"),COUNTIF($N$6:$N$45,"&gt;"&amp;N34)+1))</f>
        <v/>
      </c>
      <c r="AN34" s="35">
        <f>IF(OR(B34="",S34=0),"-",IF(OR(T34="G",T34="D"),IF(T34="G","G","D"),COUNTIF($S$6:$S$45,"&gt;"&amp;S34)+1))</f>
        <v/>
      </c>
      <c r="AO34" s="35">
        <f>IF(OR(B34="",X34=0),"-",IF(OR(Y34="G",Y34="D"),IF(Y34="G","G","D"),COUNTIF($X$6:$X$45,"&gt;"&amp;X34)+1))</f>
        <v/>
      </c>
      <c r="AP34" s="35">
        <f>IF(OR(B34="",AC34=0),"-",IF(OR(AD34="G",AD34="D"),IF(AD34="G","G","D"),COUNTIF($AC$6:$AC$45,"&gt;"&amp;AC34)+1))</f>
        <v/>
      </c>
      <c r="AQ34" s="35">
        <f>IF(OR(B34="",AH34=0),"-",IF(OR(AI34="G",AI34="D"),IF(AI34="G","G","D"),COUNTIF($AH$6:$AH$45,"&gt;"&amp;AH34)+1))</f>
        <v/>
      </c>
    </row>
    <row r="35">
      <c r="A35" s="38" t="n">
        <v>30</v>
      </c>
      <c r="B35" s="39" t="n"/>
      <c r="C35" s="39" t="n"/>
      <c r="D35" s="40" t="n"/>
      <c r="E35" s="41" t="n"/>
      <c r="F35" s="42" t="n"/>
      <c r="G35" s="42" t="n"/>
      <c r="H35" s="42" t="n"/>
      <c r="I35" s="34">
        <f>IF(OR(J35="G",J35="D"),0,IF(AND(F35="",G35=""),0,MAX(0,IFERROR(F35+0,0)+IFERROR(G35+0,0)-IFERROR(H35+0,0))))</f>
        <v/>
      </c>
      <c r="J35" s="43" t="n"/>
      <c r="K35" s="42" t="n"/>
      <c r="L35" s="42" t="n"/>
      <c r="M35" s="42" t="n"/>
      <c r="N35" s="34">
        <f>IF(OR(O35="G",O35="D"),0,IF(AND(K35="",L35=""),0,MAX(0,IFERROR(K35+0,0)+IFERROR(L35+0,0)-IFERROR(M35+0,0))))</f>
        <v/>
      </c>
      <c r="O35" s="43" t="n"/>
      <c r="P35" s="42" t="n"/>
      <c r="Q35" s="42" t="n"/>
      <c r="R35" s="42" t="n"/>
      <c r="S35" s="34">
        <f>IF(OR(T35="G",T35="D"),0,IF(AND(P35="",Q35=""),0,MAX(0,IFERROR(P35+0,0)+IFERROR(Q35+0,0)-IFERROR(R35+0,0))))</f>
        <v/>
      </c>
      <c r="T35" s="43" t="n"/>
      <c r="U35" s="42" t="n"/>
      <c r="V35" s="42" t="n"/>
      <c r="W35" s="42" t="n"/>
      <c r="X35" s="34">
        <f>IF(OR(Y35="G",Y35="D"),0,IF(AND(U35="",V35=""),0,MAX(0,IFERROR(U35+0,0)+IFERROR(V35+0,0)-IFERROR(W35+0,0))))</f>
        <v/>
      </c>
      <c r="Y35" s="43" t="n"/>
      <c r="Z35" s="42" t="n"/>
      <c r="AA35" s="42" t="n"/>
      <c r="AB35" s="42" t="n"/>
      <c r="AC35" s="34">
        <f>IF(OR(AD35="G",AD35="D"),0,IF(AND(Z35="",AA35=""),0,MAX(0,IFERROR(Z35+0,0)+IFERROR(AA35+0,0)-IFERROR(AB35+0,0))))</f>
        <v/>
      </c>
      <c r="AD35" s="43" t="n"/>
      <c r="AE35" s="42" t="n"/>
      <c r="AF35" s="42" t="n"/>
      <c r="AG35" s="42" t="n"/>
      <c r="AH35" s="34">
        <f>IF(OR(AI35="G",AI35="D"),0,IF(AND(AE35="",AF35=""),0,MAX(0,IFERROR(AE35+0,0)+IFERROR(AF35+0,0)-IFERROR(AG35+0,0))))</f>
        <v/>
      </c>
      <c r="AI35" s="43" t="n"/>
      <c r="AJ35" s="36">
        <f>IF(B35="","",IF(OR(J35="G",J35="D"),0,I35)+IF(OR(O35="G",O35="D"),0,N35)+IF(OR(T35="G",T35="D"),0,S35)+IF(OR(Y35="G",Y35="D"),0,X35)+IF(OR(AD35="G",AD35="D"),0,AC35)+IF(OR(AI35="G",AI35="D"),0,AH35))</f>
        <v/>
      </c>
      <c r="AK35" s="37">
        <f>IF(OR(B35="",AJ35=0),"-",RANK.EQ(AJ35,$AJ$6:$AJ$45,0))</f>
        <v/>
      </c>
      <c r="AL35" s="43">
        <f>IF(OR(B35="",I35=0),"-",IF(OR(J35="G",J35="D"),IF(J35="G","G","D"),COUNTIF($I$6:$I$45,"&gt;"&amp;I35)+1))</f>
        <v/>
      </c>
      <c r="AM35" s="43">
        <f>IF(OR(B35="",N35=0),"-",IF(OR(O35="G",O35="D"),IF(O35="G","G","D"),COUNTIF($N$6:$N$45,"&gt;"&amp;N35)+1))</f>
        <v/>
      </c>
      <c r="AN35" s="43">
        <f>IF(OR(B35="",S35=0),"-",IF(OR(T35="G",T35="D"),IF(T35="G","G","D"),COUNTIF($S$6:$S$45,"&gt;"&amp;S35)+1))</f>
        <v/>
      </c>
      <c r="AO35" s="43">
        <f>IF(OR(B35="",X35=0),"-",IF(OR(Y35="G",Y35="D"),IF(Y35="G","G","D"),COUNTIF($X$6:$X$45,"&gt;"&amp;X35)+1))</f>
        <v/>
      </c>
      <c r="AP35" s="43">
        <f>IF(OR(B35="",AC35=0),"-",IF(OR(AD35="G",AD35="D"),IF(AD35="G","G","D"),COUNTIF($AC$6:$AC$45,"&gt;"&amp;AC35)+1))</f>
        <v/>
      </c>
      <c r="AQ35" s="43">
        <f>IF(OR(B35="",AH35=0),"-",IF(OR(AI35="G",AI35="D"),IF(AI35="G","G","D"),COUNTIF($AH$6:$AH$45,"&gt;"&amp;AH35)+1))</f>
        <v/>
      </c>
    </row>
    <row r="36">
      <c r="A36" s="29" t="n">
        <v>31</v>
      </c>
      <c r="B36" s="30" t="n"/>
      <c r="C36" s="30" t="n"/>
      <c r="D36" s="31" t="n"/>
      <c r="E36" s="32" t="n"/>
      <c r="F36" s="33" t="n"/>
      <c r="G36" s="33" t="n"/>
      <c r="H36" s="33" t="n"/>
      <c r="I36" s="34">
        <f>IF(OR(J36="G",J36="D"),0,IF(AND(F36="",G36=""),0,MAX(0,IFERROR(F36+0,0)+IFERROR(G36+0,0)-IFERROR(H36+0,0))))</f>
        <v/>
      </c>
      <c r="J36" s="35" t="n"/>
      <c r="K36" s="33" t="n"/>
      <c r="L36" s="33" t="n"/>
      <c r="M36" s="33" t="n"/>
      <c r="N36" s="34">
        <f>IF(OR(O36="G",O36="D"),0,IF(AND(K36="",L36=""),0,MAX(0,IFERROR(K36+0,0)+IFERROR(L36+0,0)-IFERROR(M36+0,0))))</f>
        <v/>
      </c>
      <c r="O36" s="35" t="n"/>
      <c r="P36" s="33" t="n"/>
      <c r="Q36" s="33" t="n"/>
      <c r="R36" s="33" t="n"/>
      <c r="S36" s="34">
        <f>IF(OR(T36="G",T36="D"),0,IF(AND(P36="",Q36=""),0,MAX(0,IFERROR(P36+0,0)+IFERROR(Q36+0,0)-IFERROR(R36+0,0))))</f>
        <v/>
      </c>
      <c r="T36" s="35" t="n"/>
      <c r="U36" s="33" t="n"/>
      <c r="V36" s="33" t="n"/>
      <c r="W36" s="33" t="n"/>
      <c r="X36" s="34">
        <f>IF(OR(Y36="G",Y36="D"),0,IF(AND(U36="",V36=""),0,MAX(0,IFERROR(U36+0,0)+IFERROR(V36+0,0)-IFERROR(W36+0,0))))</f>
        <v/>
      </c>
      <c r="Y36" s="35" t="n"/>
      <c r="Z36" s="33" t="n"/>
      <c r="AA36" s="33" t="n"/>
      <c r="AB36" s="33" t="n"/>
      <c r="AC36" s="34">
        <f>IF(OR(AD36="G",AD36="D"),0,IF(AND(Z36="",AA36=""),0,MAX(0,IFERROR(Z36+0,0)+IFERROR(AA36+0,0)-IFERROR(AB36+0,0))))</f>
        <v/>
      </c>
      <c r="AD36" s="35" t="n"/>
      <c r="AE36" s="33" t="n"/>
      <c r="AF36" s="33" t="n"/>
      <c r="AG36" s="33" t="n"/>
      <c r="AH36" s="34">
        <f>IF(OR(AI36="G",AI36="D"),0,IF(AND(AE36="",AF36=""),0,MAX(0,IFERROR(AE36+0,0)+IFERROR(AF36+0,0)-IFERROR(AG36+0,0))))</f>
        <v/>
      </c>
      <c r="AI36" s="35" t="n"/>
      <c r="AJ36" s="36">
        <f>IF(B36="","",IF(OR(J36="G",J36="D"),0,I36)+IF(OR(O36="G",O36="D"),0,N36)+IF(OR(T36="G",T36="D"),0,S36)+IF(OR(Y36="G",Y36="D"),0,X36)+IF(OR(AD36="G",AD36="D"),0,AC36)+IF(OR(AI36="G",AI36="D"),0,AH36))</f>
        <v/>
      </c>
      <c r="AK36" s="37">
        <f>IF(OR(B36="",AJ36=0),"-",RANK.EQ(AJ36,$AJ$6:$AJ$45,0))</f>
        <v/>
      </c>
      <c r="AL36" s="35">
        <f>IF(OR(B36="",I36=0),"-",IF(OR(J36="G",J36="D"),IF(J36="G","G","D"),COUNTIF($I$6:$I$45,"&gt;"&amp;I36)+1))</f>
        <v/>
      </c>
      <c r="AM36" s="35">
        <f>IF(OR(B36="",N36=0),"-",IF(OR(O36="G",O36="D"),IF(O36="G","G","D"),COUNTIF($N$6:$N$45,"&gt;"&amp;N36)+1))</f>
        <v/>
      </c>
      <c r="AN36" s="35">
        <f>IF(OR(B36="",S36=0),"-",IF(OR(T36="G",T36="D"),IF(T36="G","G","D"),COUNTIF($S$6:$S$45,"&gt;"&amp;S36)+1))</f>
        <v/>
      </c>
      <c r="AO36" s="35">
        <f>IF(OR(B36="",X36=0),"-",IF(OR(Y36="G",Y36="D"),IF(Y36="G","G","D"),COUNTIF($X$6:$X$45,"&gt;"&amp;X36)+1))</f>
        <v/>
      </c>
      <c r="AP36" s="35">
        <f>IF(OR(B36="",AC36=0),"-",IF(OR(AD36="G",AD36="D"),IF(AD36="G","G","D"),COUNTIF($AC$6:$AC$45,"&gt;"&amp;AC36)+1))</f>
        <v/>
      </c>
      <c r="AQ36" s="35">
        <f>IF(OR(B36="",AH36=0),"-",IF(OR(AI36="G",AI36="D"),IF(AI36="G","G","D"),COUNTIF($AH$6:$AH$45,"&gt;"&amp;AH36)+1))</f>
        <v/>
      </c>
    </row>
    <row r="37">
      <c r="A37" s="38" t="n">
        <v>32</v>
      </c>
      <c r="B37" s="39" t="n"/>
      <c r="C37" s="39" t="n"/>
      <c r="D37" s="40" t="n"/>
      <c r="E37" s="41" t="n"/>
      <c r="F37" s="42" t="n"/>
      <c r="G37" s="42" t="n"/>
      <c r="H37" s="42" t="n"/>
      <c r="I37" s="34">
        <f>IF(OR(J37="G",J37="D"),0,IF(AND(F37="",G37=""),0,MAX(0,IFERROR(F37+0,0)+IFERROR(G37+0,0)-IFERROR(H37+0,0))))</f>
        <v/>
      </c>
      <c r="J37" s="43" t="n"/>
      <c r="K37" s="42" t="n"/>
      <c r="L37" s="42" t="n"/>
      <c r="M37" s="42" t="n"/>
      <c r="N37" s="34">
        <f>IF(OR(O37="G",O37="D"),0,IF(AND(K37="",L37=""),0,MAX(0,IFERROR(K37+0,0)+IFERROR(L37+0,0)-IFERROR(M37+0,0))))</f>
        <v/>
      </c>
      <c r="O37" s="43" t="n"/>
      <c r="P37" s="42" t="n"/>
      <c r="Q37" s="42" t="n"/>
      <c r="R37" s="42" t="n"/>
      <c r="S37" s="34">
        <f>IF(OR(T37="G",T37="D"),0,IF(AND(P37="",Q37=""),0,MAX(0,IFERROR(P37+0,0)+IFERROR(Q37+0,0)-IFERROR(R37+0,0))))</f>
        <v/>
      </c>
      <c r="T37" s="43" t="n"/>
      <c r="U37" s="42" t="n"/>
      <c r="V37" s="42" t="n"/>
      <c r="W37" s="42" t="n"/>
      <c r="X37" s="34">
        <f>IF(OR(Y37="G",Y37="D"),0,IF(AND(U37="",V37=""),0,MAX(0,IFERROR(U37+0,0)+IFERROR(V37+0,0)-IFERROR(W37+0,0))))</f>
        <v/>
      </c>
      <c r="Y37" s="43" t="n"/>
      <c r="Z37" s="42" t="n"/>
      <c r="AA37" s="42" t="n"/>
      <c r="AB37" s="42" t="n"/>
      <c r="AC37" s="34">
        <f>IF(OR(AD37="G",AD37="D"),0,IF(AND(Z37="",AA37=""),0,MAX(0,IFERROR(Z37+0,0)+IFERROR(AA37+0,0)-IFERROR(AB37+0,0))))</f>
        <v/>
      </c>
      <c r="AD37" s="43" t="n"/>
      <c r="AE37" s="42" t="n"/>
      <c r="AF37" s="42" t="n"/>
      <c r="AG37" s="42" t="n"/>
      <c r="AH37" s="34">
        <f>IF(OR(AI37="G",AI37="D"),0,IF(AND(AE37="",AF37=""),0,MAX(0,IFERROR(AE37+0,0)+IFERROR(AF37+0,0)-IFERROR(AG37+0,0))))</f>
        <v/>
      </c>
      <c r="AI37" s="43" t="n"/>
      <c r="AJ37" s="36">
        <f>IF(B37="","",IF(OR(J37="G",J37="D"),0,I37)+IF(OR(O37="G",O37="D"),0,N37)+IF(OR(T37="G",T37="D"),0,S37)+IF(OR(Y37="G",Y37="D"),0,X37)+IF(OR(AD37="G",AD37="D"),0,AC37)+IF(OR(AI37="G",AI37="D"),0,AH37))</f>
        <v/>
      </c>
      <c r="AK37" s="37">
        <f>IF(OR(B37="",AJ37=0),"-",RANK.EQ(AJ37,$AJ$6:$AJ$45,0))</f>
        <v/>
      </c>
      <c r="AL37" s="43">
        <f>IF(OR(B37="",I37=0),"-",IF(OR(J37="G",J37="D"),IF(J37="G","G","D"),COUNTIF($I$6:$I$45,"&gt;"&amp;I37)+1))</f>
        <v/>
      </c>
      <c r="AM37" s="43">
        <f>IF(OR(B37="",N37=0),"-",IF(OR(O37="G",O37="D"),IF(O37="G","G","D"),COUNTIF($N$6:$N$45,"&gt;"&amp;N37)+1))</f>
        <v/>
      </c>
      <c r="AN37" s="43">
        <f>IF(OR(B37="",S37=0),"-",IF(OR(T37="G",T37="D"),IF(T37="G","G","D"),COUNTIF($S$6:$S$45,"&gt;"&amp;S37)+1))</f>
        <v/>
      </c>
      <c r="AO37" s="43">
        <f>IF(OR(B37="",X37=0),"-",IF(OR(Y37="G",Y37="D"),IF(Y37="G","G","D"),COUNTIF($X$6:$X$45,"&gt;"&amp;X37)+1))</f>
        <v/>
      </c>
      <c r="AP37" s="43">
        <f>IF(OR(B37="",AC37=0),"-",IF(OR(AD37="G",AD37="D"),IF(AD37="G","G","D"),COUNTIF($AC$6:$AC$45,"&gt;"&amp;AC37)+1))</f>
        <v/>
      </c>
      <c r="AQ37" s="43">
        <f>IF(OR(B37="",AH37=0),"-",IF(OR(AI37="G",AI37="D"),IF(AI37="G","G","D"),COUNTIF($AH$6:$AH$45,"&gt;"&amp;AH37)+1))</f>
        <v/>
      </c>
    </row>
    <row r="38">
      <c r="A38" s="29" t="n">
        <v>33</v>
      </c>
      <c r="B38" s="30" t="n"/>
      <c r="C38" s="30" t="n"/>
      <c r="D38" s="31" t="n"/>
      <c r="E38" s="32" t="n"/>
      <c r="F38" s="33" t="n"/>
      <c r="G38" s="33" t="n"/>
      <c r="H38" s="33" t="n"/>
      <c r="I38" s="34">
        <f>IF(OR(J38="G",J38="D"),0,IF(AND(F38="",G38=""),0,MAX(0,IFERROR(F38+0,0)+IFERROR(G38+0,0)-IFERROR(H38+0,0))))</f>
        <v/>
      </c>
      <c r="J38" s="35" t="n"/>
      <c r="K38" s="33" t="n"/>
      <c r="L38" s="33" t="n"/>
      <c r="M38" s="33" t="n"/>
      <c r="N38" s="34">
        <f>IF(OR(O38="G",O38="D"),0,IF(AND(K38="",L38=""),0,MAX(0,IFERROR(K38+0,0)+IFERROR(L38+0,0)-IFERROR(M38+0,0))))</f>
        <v/>
      </c>
      <c r="O38" s="35" t="n"/>
      <c r="P38" s="33" t="n"/>
      <c r="Q38" s="33" t="n"/>
      <c r="R38" s="33" t="n"/>
      <c r="S38" s="34">
        <f>IF(OR(T38="G",T38="D"),0,IF(AND(P38="",Q38=""),0,MAX(0,IFERROR(P38+0,0)+IFERROR(Q38+0,0)-IFERROR(R38+0,0))))</f>
        <v/>
      </c>
      <c r="T38" s="35" t="n"/>
      <c r="U38" s="33" t="n"/>
      <c r="V38" s="33" t="n"/>
      <c r="W38" s="33" t="n"/>
      <c r="X38" s="34">
        <f>IF(OR(Y38="G",Y38="D"),0,IF(AND(U38="",V38=""),0,MAX(0,IFERROR(U38+0,0)+IFERROR(V38+0,0)-IFERROR(W38+0,0))))</f>
        <v/>
      </c>
      <c r="Y38" s="35" t="n"/>
      <c r="Z38" s="33" t="n"/>
      <c r="AA38" s="33" t="n"/>
      <c r="AB38" s="33" t="n"/>
      <c r="AC38" s="34">
        <f>IF(OR(AD38="G",AD38="D"),0,IF(AND(Z38="",AA38=""),0,MAX(0,IFERROR(Z38+0,0)+IFERROR(AA38+0,0)-IFERROR(AB38+0,0))))</f>
        <v/>
      </c>
      <c r="AD38" s="35" t="n"/>
      <c r="AE38" s="33" t="n"/>
      <c r="AF38" s="33" t="n"/>
      <c r="AG38" s="33" t="n"/>
      <c r="AH38" s="34">
        <f>IF(OR(AI38="G",AI38="D"),0,IF(AND(AE38="",AF38=""),0,MAX(0,IFERROR(AE38+0,0)+IFERROR(AF38+0,0)-IFERROR(AG38+0,0))))</f>
        <v/>
      </c>
      <c r="AI38" s="35" t="n"/>
      <c r="AJ38" s="36">
        <f>IF(B38="","",IF(OR(J38="G",J38="D"),0,I38)+IF(OR(O38="G",O38="D"),0,N38)+IF(OR(T38="G",T38="D"),0,S38)+IF(OR(Y38="G",Y38="D"),0,X38)+IF(OR(AD38="G",AD38="D"),0,AC38)+IF(OR(AI38="G",AI38="D"),0,AH38))</f>
        <v/>
      </c>
      <c r="AK38" s="37">
        <f>IF(OR(B38="",AJ38=0),"-",RANK.EQ(AJ38,$AJ$6:$AJ$45,0))</f>
        <v/>
      </c>
      <c r="AL38" s="35">
        <f>IF(OR(B38="",I38=0),"-",IF(OR(J38="G",J38="D"),IF(J38="G","G","D"),COUNTIF($I$6:$I$45,"&gt;"&amp;I38)+1))</f>
        <v/>
      </c>
      <c r="AM38" s="35">
        <f>IF(OR(B38="",N38=0),"-",IF(OR(O38="G",O38="D"),IF(O38="G","G","D"),COUNTIF($N$6:$N$45,"&gt;"&amp;N38)+1))</f>
        <v/>
      </c>
      <c r="AN38" s="35">
        <f>IF(OR(B38="",S38=0),"-",IF(OR(T38="G",T38="D"),IF(T38="G","G","D"),COUNTIF($S$6:$S$45,"&gt;"&amp;S38)+1))</f>
        <v/>
      </c>
      <c r="AO38" s="35">
        <f>IF(OR(B38="",X38=0),"-",IF(OR(Y38="G",Y38="D"),IF(Y38="G","G","D"),COUNTIF($X$6:$X$45,"&gt;"&amp;X38)+1))</f>
        <v/>
      </c>
      <c r="AP38" s="35">
        <f>IF(OR(B38="",AC38=0),"-",IF(OR(AD38="G",AD38="D"),IF(AD38="G","G","D"),COUNTIF($AC$6:$AC$45,"&gt;"&amp;AC38)+1))</f>
        <v/>
      </c>
      <c r="AQ38" s="35">
        <f>IF(OR(B38="",AH38=0),"-",IF(OR(AI38="G",AI38="D"),IF(AI38="G","G","D"),COUNTIF($AH$6:$AH$45,"&gt;"&amp;AH38)+1))</f>
        <v/>
      </c>
    </row>
    <row r="39">
      <c r="A39" s="38" t="n">
        <v>34</v>
      </c>
      <c r="B39" s="39" t="n"/>
      <c r="C39" s="39" t="n"/>
      <c r="D39" s="40" t="n"/>
      <c r="E39" s="41" t="n"/>
      <c r="F39" s="42" t="n"/>
      <c r="G39" s="42" t="n"/>
      <c r="H39" s="42" t="n"/>
      <c r="I39" s="34">
        <f>IF(OR(J39="G",J39="D"),0,IF(AND(F39="",G39=""),0,MAX(0,IFERROR(F39+0,0)+IFERROR(G39+0,0)-IFERROR(H39+0,0))))</f>
        <v/>
      </c>
      <c r="J39" s="43" t="n"/>
      <c r="K39" s="42" t="n"/>
      <c r="L39" s="42" t="n"/>
      <c r="M39" s="42" t="n"/>
      <c r="N39" s="34">
        <f>IF(OR(O39="G",O39="D"),0,IF(AND(K39="",L39=""),0,MAX(0,IFERROR(K39+0,0)+IFERROR(L39+0,0)-IFERROR(M39+0,0))))</f>
        <v/>
      </c>
      <c r="O39" s="43" t="n"/>
      <c r="P39" s="42" t="n"/>
      <c r="Q39" s="42" t="n"/>
      <c r="R39" s="42" t="n"/>
      <c r="S39" s="34">
        <f>IF(OR(T39="G",T39="D"),0,IF(AND(P39="",Q39=""),0,MAX(0,IFERROR(P39+0,0)+IFERROR(Q39+0,0)-IFERROR(R39+0,0))))</f>
        <v/>
      </c>
      <c r="T39" s="43" t="n"/>
      <c r="U39" s="42" t="n"/>
      <c r="V39" s="42" t="n"/>
      <c r="W39" s="42" t="n"/>
      <c r="X39" s="34">
        <f>IF(OR(Y39="G",Y39="D"),0,IF(AND(U39="",V39=""),0,MAX(0,IFERROR(U39+0,0)+IFERROR(V39+0,0)-IFERROR(W39+0,0))))</f>
        <v/>
      </c>
      <c r="Y39" s="43" t="n"/>
      <c r="Z39" s="42" t="n"/>
      <c r="AA39" s="42" t="n"/>
      <c r="AB39" s="42" t="n"/>
      <c r="AC39" s="34">
        <f>IF(OR(AD39="G",AD39="D"),0,IF(AND(Z39="",AA39=""),0,MAX(0,IFERROR(Z39+0,0)+IFERROR(AA39+0,0)-IFERROR(AB39+0,0))))</f>
        <v/>
      </c>
      <c r="AD39" s="43" t="n"/>
      <c r="AE39" s="42" t="n"/>
      <c r="AF39" s="42" t="n"/>
      <c r="AG39" s="42" t="n"/>
      <c r="AH39" s="34">
        <f>IF(OR(AI39="G",AI39="D"),0,IF(AND(AE39="",AF39=""),0,MAX(0,IFERROR(AE39+0,0)+IFERROR(AF39+0,0)-IFERROR(AG39+0,0))))</f>
        <v/>
      </c>
      <c r="AI39" s="43" t="n"/>
      <c r="AJ39" s="36">
        <f>IF(B39="","",IF(OR(J39="G",J39="D"),0,I39)+IF(OR(O39="G",O39="D"),0,N39)+IF(OR(T39="G",T39="D"),0,S39)+IF(OR(Y39="G",Y39="D"),0,X39)+IF(OR(AD39="G",AD39="D"),0,AC39)+IF(OR(AI39="G",AI39="D"),0,AH39))</f>
        <v/>
      </c>
      <c r="AK39" s="37">
        <f>IF(OR(B39="",AJ39=0),"-",RANK.EQ(AJ39,$AJ$6:$AJ$45,0))</f>
        <v/>
      </c>
      <c r="AL39" s="43">
        <f>IF(OR(B39="",I39=0),"-",IF(OR(J39="G",J39="D"),IF(J39="G","G","D"),COUNTIF($I$6:$I$45,"&gt;"&amp;I39)+1))</f>
        <v/>
      </c>
      <c r="AM39" s="43">
        <f>IF(OR(B39="",N39=0),"-",IF(OR(O39="G",O39="D"),IF(O39="G","G","D"),COUNTIF($N$6:$N$45,"&gt;"&amp;N39)+1))</f>
        <v/>
      </c>
      <c r="AN39" s="43">
        <f>IF(OR(B39="",S39=0),"-",IF(OR(T39="G",T39="D"),IF(T39="G","G","D"),COUNTIF($S$6:$S$45,"&gt;"&amp;S39)+1))</f>
        <v/>
      </c>
      <c r="AO39" s="43">
        <f>IF(OR(B39="",X39=0),"-",IF(OR(Y39="G",Y39="D"),IF(Y39="G","G","D"),COUNTIF($X$6:$X$45,"&gt;"&amp;X39)+1))</f>
        <v/>
      </c>
      <c r="AP39" s="43">
        <f>IF(OR(B39="",AC39=0),"-",IF(OR(AD39="G",AD39="D"),IF(AD39="G","G","D"),COUNTIF($AC$6:$AC$45,"&gt;"&amp;AC39)+1))</f>
        <v/>
      </c>
      <c r="AQ39" s="43">
        <f>IF(OR(B39="",AH39=0),"-",IF(OR(AI39="G",AI39="D"),IF(AI39="G","G","D"),COUNTIF($AH$6:$AH$45,"&gt;"&amp;AH39)+1))</f>
        <v/>
      </c>
    </row>
    <row r="40">
      <c r="A40" s="29" t="n">
        <v>35</v>
      </c>
      <c r="B40" s="30" t="n"/>
      <c r="C40" s="30" t="n"/>
      <c r="D40" s="31" t="n"/>
      <c r="E40" s="32" t="n"/>
      <c r="F40" s="33" t="n"/>
      <c r="G40" s="33" t="n"/>
      <c r="H40" s="33" t="n"/>
      <c r="I40" s="34">
        <f>IF(OR(J40="G",J40="D"),0,IF(AND(F40="",G40=""),0,MAX(0,IFERROR(F40+0,0)+IFERROR(G40+0,0)-IFERROR(H40+0,0))))</f>
        <v/>
      </c>
      <c r="J40" s="35" t="n"/>
      <c r="K40" s="33" t="n"/>
      <c r="L40" s="33" t="n"/>
      <c r="M40" s="33" t="n"/>
      <c r="N40" s="34">
        <f>IF(OR(O40="G",O40="D"),0,IF(AND(K40="",L40=""),0,MAX(0,IFERROR(K40+0,0)+IFERROR(L40+0,0)-IFERROR(M40+0,0))))</f>
        <v/>
      </c>
      <c r="O40" s="35" t="n"/>
      <c r="P40" s="33" t="n"/>
      <c r="Q40" s="33" t="n"/>
      <c r="R40" s="33" t="n"/>
      <c r="S40" s="34">
        <f>IF(OR(T40="G",T40="D"),0,IF(AND(P40="",Q40=""),0,MAX(0,IFERROR(P40+0,0)+IFERROR(Q40+0,0)-IFERROR(R40+0,0))))</f>
        <v/>
      </c>
      <c r="T40" s="35" t="n"/>
      <c r="U40" s="33" t="n"/>
      <c r="V40" s="33" t="n"/>
      <c r="W40" s="33" t="n"/>
      <c r="X40" s="34">
        <f>IF(OR(Y40="G",Y40="D"),0,IF(AND(U40="",V40=""),0,MAX(0,IFERROR(U40+0,0)+IFERROR(V40+0,0)-IFERROR(W40+0,0))))</f>
        <v/>
      </c>
      <c r="Y40" s="35" t="n"/>
      <c r="Z40" s="33" t="n"/>
      <c r="AA40" s="33" t="n"/>
      <c r="AB40" s="33" t="n"/>
      <c r="AC40" s="34">
        <f>IF(OR(AD40="G",AD40="D"),0,IF(AND(Z40="",AA40=""),0,MAX(0,IFERROR(Z40+0,0)+IFERROR(AA40+0,0)-IFERROR(AB40+0,0))))</f>
        <v/>
      </c>
      <c r="AD40" s="35" t="n"/>
      <c r="AE40" s="33" t="n"/>
      <c r="AF40" s="33" t="n"/>
      <c r="AG40" s="33" t="n"/>
      <c r="AH40" s="34">
        <f>IF(OR(AI40="G",AI40="D"),0,IF(AND(AE40="",AF40=""),0,MAX(0,IFERROR(AE40+0,0)+IFERROR(AF40+0,0)-IFERROR(AG40+0,0))))</f>
        <v/>
      </c>
      <c r="AI40" s="35" t="n"/>
      <c r="AJ40" s="36">
        <f>IF(B40="","",IF(OR(J40="G",J40="D"),0,I40)+IF(OR(O40="G",O40="D"),0,N40)+IF(OR(T40="G",T40="D"),0,S40)+IF(OR(Y40="G",Y40="D"),0,X40)+IF(OR(AD40="G",AD40="D"),0,AC40)+IF(OR(AI40="G",AI40="D"),0,AH40))</f>
        <v/>
      </c>
      <c r="AK40" s="37">
        <f>IF(OR(B40="",AJ40=0),"-",RANK.EQ(AJ40,$AJ$6:$AJ$45,0))</f>
        <v/>
      </c>
      <c r="AL40" s="35">
        <f>IF(OR(B40="",I40=0),"-",IF(OR(J40="G",J40="D"),IF(J40="G","G","D"),COUNTIF($I$6:$I$45,"&gt;"&amp;I40)+1))</f>
        <v/>
      </c>
      <c r="AM40" s="35">
        <f>IF(OR(B40="",N40=0),"-",IF(OR(O40="G",O40="D"),IF(O40="G","G","D"),COUNTIF($N$6:$N$45,"&gt;"&amp;N40)+1))</f>
        <v/>
      </c>
      <c r="AN40" s="35">
        <f>IF(OR(B40="",S40=0),"-",IF(OR(T40="G",T40="D"),IF(T40="G","G","D"),COUNTIF($S$6:$S$45,"&gt;"&amp;S40)+1))</f>
        <v/>
      </c>
      <c r="AO40" s="35">
        <f>IF(OR(B40="",X40=0),"-",IF(OR(Y40="G",Y40="D"),IF(Y40="G","G","D"),COUNTIF($X$6:$X$45,"&gt;"&amp;X40)+1))</f>
        <v/>
      </c>
      <c r="AP40" s="35">
        <f>IF(OR(B40="",AC40=0),"-",IF(OR(AD40="G",AD40="D"),IF(AD40="G","G","D"),COUNTIF($AC$6:$AC$45,"&gt;"&amp;AC40)+1))</f>
        <v/>
      </c>
      <c r="AQ40" s="35">
        <f>IF(OR(B40="",AH40=0),"-",IF(OR(AI40="G",AI40="D"),IF(AI40="G","G","D"),COUNTIF($AH$6:$AH$45,"&gt;"&amp;AH40)+1))</f>
        <v/>
      </c>
    </row>
    <row r="41">
      <c r="A41" s="38" t="n">
        <v>36</v>
      </c>
      <c r="B41" s="39" t="n"/>
      <c r="C41" s="39" t="n"/>
      <c r="D41" s="40" t="n"/>
      <c r="E41" s="41" t="n"/>
      <c r="F41" s="42" t="n"/>
      <c r="G41" s="42" t="n"/>
      <c r="H41" s="42" t="n"/>
      <c r="I41" s="34">
        <f>IF(OR(J41="G",J41="D"),0,IF(AND(F41="",G41=""),0,MAX(0,IFERROR(F41+0,0)+IFERROR(G41+0,0)-IFERROR(H41+0,0))))</f>
        <v/>
      </c>
      <c r="J41" s="43" t="n"/>
      <c r="K41" s="42" t="n"/>
      <c r="L41" s="42" t="n"/>
      <c r="M41" s="42" t="n"/>
      <c r="N41" s="34">
        <f>IF(OR(O41="G",O41="D"),0,IF(AND(K41="",L41=""),0,MAX(0,IFERROR(K41+0,0)+IFERROR(L41+0,0)-IFERROR(M41+0,0))))</f>
        <v/>
      </c>
      <c r="O41" s="43" t="n"/>
      <c r="P41" s="42" t="n"/>
      <c r="Q41" s="42" t="n"/>
      <c r="R41" s="42" t="n"/>
      <c r="S41" s="34">
        <f>IF(OR(T41="G",T41="D"),0,IF(AND(P41="",Q41=""),0,MAX(0,IFERROR(P41+0,0)+IFERROR(Q41+0,0)-IFERROR(R41+0,0))))</f>
        <v/>
      </c>
      <c r="T41" s="43" t="n"/>
      <c r="U41" s="42" t="n"/>
      <c r="V41" s="42" t="n"/>
      <c r="W41" s="42" t="n"/>
      <c r="X41" s="34">
        <f>IF(OR(Y41="G",Y41="D"),0,IF(AND(U41="",V41=""),0,MAX(0,IFERROR(U41+0,0)+IFERROR(V41+0,0)-IFERROR(W41+0,0))))</f>
        <v/>
      </c>
      <c r="Y41" s="43" t="n"/>
      <c r="Z41" s="42" t="n"/>
      <c r="AA41" s="42" t="n"/>
      <c r="AB41" s="42" t="n"/>
      <c r="AC41" s="34">
        <f>IF(OR(AD41="G",AD41="D"),0,IF(AND(Z41="",AA41=""),0,MAX(0,IFERROR(Z41+0,0)+IFERROR(AA41+0,0)-IFERROR(AB41+0,0))))</f>
        <v/>
      </c>
      <c r="AD41" s="43" t="n"/>
      <c r="AE41" s="42" t="n"/>
      <c r="AF41" s="42" t="n"/>
      <c r="AG41" s="42" t="n"/>
      <c r="AH41" s="34">
        <f>IF(OR(AI41="G",AI41="D"),0,IF(AND(AE41="",AF41=""),0,MAX(0,IFERROR(AE41+0,0)+IFERROR(AF41+0,0)-IFERROR(AG41+0,0))))</f>
        <v/>
      </c>
      <c r="AI41" s="43" t="n"/>
      <c r="AJ41" s="36">
        <f>IF(B41="","",IF(OR(J41="G",J41="D"),0,I41)+IF(OR(O41="G",O41="D"),0,N41)+IF(OR(T41="G",T41="D"),0,S41)+IF(OR(Y41="G",Y41="D"),0,X41)+IF(OR(AD41="G",AD41="D"),0,AC41)+IF(OR(AI41="G",AI41="D"),0,AH41))</f>
        <v/>
      </c>
      <c r="AK41" s="37">
        <f>IF(OR(B41="",AJ41=0),"-",RANK.EQ(AJ41,$AJ$6:$AJ$45,0))</f>
        <v/>
      </c>
      <c r="AL41" s="43">
        <f>IF(OR(B41="",I41=0),"-",IF(OR(J41="G",J41="D"),IF(J41="G","G","D"),COUNTIF($I$6:$I$45,"&gt;"&amp;I41)+1))</f>
        <v/>
      </c>
      <c r="AM41" s="43">
        <f>IF(OR(B41="",N41=0),"-",IF(OR(O41="G",O41="D"),IF(O41="G","G","D"),COUNTIF($N$6:$N$45,"&gt;"&amp;N41)+1))</f>
        <v/>
      </c>
      <c r="AN41" s="43">
        <f>IF(OR(B41="",S41=0),"-",IF(OR(T41="G",T41="D"),IF(T41="G","G","D"),COUNTIF($S$6:$S$45,"&gt;"&amp;S41)+1))</f>
        <v/>
      </c>
      <c r="AO41" s="43">
        <f>IF(OR(B41="",X41=0),"-",IF(OR(Y41="G",Y41="D"),IF(Y41="G","G","D"),COUNTIF($X$6:$X$45,"&gt;"&amp;X41)+1))</f>
        <v/>
      </c>
      <c r="AP41" s="43">
        <f>IF(OR(B41="",AC41=0),"-",IF(OR(AD41="G",AD41="D"),IF(AD41="G","G","D"),COUNTIF($AC$6:$AC$45,"&gt;"&amp;AC41)+1))</f>
        <v/>
      </c>
      <c r="AQ41" s="43">
        <f>IF(OR(B41="",AH41=0),"-",IF(OR(AI41="G",AI41="D"),IF(AI41="G","G","D"),COUNTIF($AH$6:$AH$45,"&gt;"&amp;AH41)+1))</f>
        <v/>
      </c>
    </row>
    <row r="42">
      <c r="A42" s="29" t="n">
        <v>37</v>
      </c>
      <c r="B42" s="30" t="n"/>
      <c r="C42" s="30" t="n"/>
      <c r="D42" s="31" t="n"/>
      <c r="E42" s="32" t="n"/>
      <c r="F42" s="33" t="n"/>
      <c r="G42" s="33" t="n"/>
      <c r="H42" s="33" t="n"/>
      <c r="I42" s="34">
        <f>IF(OR(J42="G",J42="D"),0,IF(AND(F42="",G42=""),0,MAX(0,IFERROR(F42+0,0)+IFERROR(G42+0,0)-IFERROR(H42+0,0))))</f>
        <v/>
      </c>
      <c r="J42" s="35" t="n"/>
      <c r="K42" s="33" t="n"/>
      <c r="L42" s="33" t="n"/>
      <c r="M42" s="33" t="n"/>
      <c r="N42" s="34">
        <f>IF(OR(O42="G",O42="D"),0,IF(AND(K42="",L42=""),0,MAX(0,IFERROR(K42+0,0)+IFERROR(L42+0,0)-IFERROR(M42+0,0))))</f>
        <v/>
      </c>
      <c r="O42" s="35" t="n"/>
      <c r="P42" s="33" t="n"/>
      <c r="Q42" s="33" t="n"/>
      <c r="R42" s="33" t="n"/>
      <c r="S42" s="34">
        <f>IF(OR(T42="G",T42="D"),0,IF(AND(P42="",Q42=""),0,MAX(0,IFERROR(P42+0,0)+IFERROR(Q42+0,0)-IFERROR(R42+0,0))))</f>
        <v/>
      </c>
      <c r="T42" s="35" t="n"/>
      <c r="U42" s="33" t="n"/>
      <c r="V42" s="33" t="n"/>
      <c r="W42" s="33" t="n"/>
      <c r="X42" s="34">
        <f>IF(OR(Y42="G",Y42="D"),0,IF(AND(U42="",V42=""),0,MAX(0,IFERROR(U42+0,0)+IFERROR(V42+0,0)-IFERROR(W42+0,0))))</f>
        <v/>
      </c>
      <c r="Y42" s="35" t="n"/>
      <c r="Z42" s="33" t="n"/>
      <c r="AA42" s="33" t="n"/>
      <c r="AB42" s="33" t="n"/>
      <c r="AC42" s="34">
        <f>IF(OR(AD42="G",AD42="D"),0,IF(AND(Z42="",AA42=""),0,MAX(0,IFERROR(Z42+0,0)+IFERROR(AA42+0,0)-IFERROR(AB42+0,0))))</f>
        <v/>
      </c>
      <c r="AD42" s="35" t="n"/>
      <c r="AE42" s="33" t="n"/>
      <c r="AF42" s="33" t="n"/>
      <c r="AG42" s="33" t="n"/>
      <c r="AH42" s="34">
        <f>IF(OR(AI42="G",AI42="D"),0,IF(AND(AE42="",AF42=""),0,MAX(0,IFERROR(AE42+0,0)+IFERROR(AF42+0,0)-IFERROR(AG42+0,0))))</f>
        <v/>
      </c>
      <c r="AI42" s="35" t="n"/>
      <c r="AJ42" s="36">
        <f>IF(B42="","",IF(OR(J42="G",J42="D"),0,I42)+IF(OR(O42="G",O42="D"),0,N42)+IF(OR(T42="G",T42="D"),0,S42)+IF(OR(Y42="G",Y42="D"),0,X42)+IF(OR(AD42="G",AD42="D"),0,AC42)+IF(OR(AI42="G",AI42="D"),0,AH42))</f>
        <v/>
      </c>
      <c r="AK42" s="37">
        <f>IF(OR(B42="",AJ42=0),"-",RANK.EQ(AJ42,$AJ$6:$AJ$45,0))</f>
        <v/>
      </c>
      <c r="AL42" s="35">
        <f>IF(OR(B42="",I42=0),"-",IF(OR(J42="G",J42="D"),IF(J42="G","G","D"),COUNTIF($I$6:$I$45,"&gt;"&amp;I42)+1))</f>
        <v/>
      </c>
      <c r="AM42" s="35">
        <f>IF(OR(B42="",N42=0),"-",IF(OR(O42="G",O42="D"),IF(O42="G","G","D"),COUNTIF($N$6:$N$45,"&gt;"&amp;N42)+1))</f>
        <v/>
      </c>
      <c r="AN42" s="35">
        <f>IF(OR(B42="",S42=0),"-",IF(OR(T42="G",T42="D"),IF(T42="G","G","D"),COUNTIF($S$6:$S$45,"&gt;"&amp;S42)+1))</f>
        <v/>
      </c>
      <c r="AO42" s="35">
        <f>IF(OR(B42="",X42=0),"-",IF(OR(Y42="G",Y42="D"),IF(Y42="G","G","D"),COUNTIF($X$6:$X$45,"&gt;"&amp;X42)+1))</f>
        <v/>
      </c>
      <c r="AP42" s="35">
        <f>IF(OR(B42="",AC42=0),"-",IF(OR(AD42="G",AD42="D"),IF(AD42="G","G","D"),COUNTIF($AC$6:$AC$45,"&gt;"&amp;AC42)+1))</f>
        <v/>
      </c>
      <c r="AQ42" s="35">
        <f>IF(OR(B42="",AH42=0),"-",IF(OR(AI42="G",AI42="D"),IF(AI42="G","G","D"),COUNTIF($AH$6:$AH$45,"&gt;"&amp;AH42)+1))</f>
        <v/>
      </c>
    </row>
    <row r="43">
      <c r="A43" s="38" t="n">
        <v>38</v>
      </c>
      <c r="B43" s="39" t="n"/>
      <c r="C43" s="39" t="n"/>
      <c r="D43" s="40" t="n"/>
      <c r="E43" s="41" t="n"/>
      <c r="F43" s="42" t="n"/>
      <c r="G43" s="42" t="n"/>
      <c r="H43" s="42" t="n"/>
      <c r="I43" s="34">
        <f>IF(OR(J43="G",J43="D"),0,IF(AND(F43="",G43=""),0,MAX(0,IFERROR(F43+0,0)+IFERROR(G43+0,0)-IFERROR(H43+0,0))))</f>
        <v/>
      </c>
      <c r="J43" s="43" t="n"/>
      <c r="K43" s="42" t="n"/>
      <c r="L43" s="42" t="n"/>
      <c r="M43" s="42" t="n"/>
      <c r="N43" s="34">
        <f>IF(OR(O43="G",O43="D"),0,IF(AND(K43="",L43=""),0,MAX(0,IFERROR(K43+0,0)+IFERROR(L43+0,0)-IFERROR(M43+0,0))))</f>
        <v/>
      </c>
      <c r="O43" s="43" t="n"/>
      <c r="P43" s="42" t="n"/>
      <c r="Q43" s="42" t="n"/>
      <c r="R43" s="42" t="n"/>
      <c r="S43" s="34">
        <f>IF(OR(T43="G",T43="D"),0,IF(AND(P43="",Q43=""),0,MAX(0,IFERROR(P43+0,0)+IFERROR(Q43+0,0)-IFERROR(R43+0,0))))</f>
        <v/>
      </c>
      <c r="T43" s="43" t="n"/>
      <c r="U43" s="42" t="n"/>
      <c r="V43" s="42" t="n"/>
      <c r="W43" s="42" t="n"/>
      <c r="X43" s="34">
        <f>IF(OR(Y43="G",Y43="D"),0,IF(AND(U43="",V43=""),0,MAX(0,IFERROR(U43+0,0)+IFERROR(V43+0,0)-IFERROR(W43+0,0))))</f>
        <v/>
      </c>
      <c r="Y43" s="43" t="n"/>
      <c r="Z43" s="42" t="n"/>
      <c r="AA43" s="42" t="n"/>
      <c r="AB43" s="42" t="n"/>
      <c r="AC43" s="34">
        <f>IF(OR(AD43="G",AD43="D"),0,IF(AND(Z43="",AA43=""),0,MAX(0,IFERROR(Z43+0,0)+IFERROR(AA43+0,0)-IFERROR(AB43+0,0))))</f>
        <v/>
      </c>
      <c r="AD43" s="43" t="n"/>
      <c r="AE43" s="42" t="n"/>
      <c r="AF43" s="42" t="n"/>
      <c r="AG43" s="42" t="n"/>
      <c r="AH43" s="34">
        <f>IF(OR(AI43="G",AI43="D"),0,IF(AND(AE43="",AF43=""),0,MAX(0,IFERROR(AE43+0,0)+IFERROR(AF43+0,0)-IFERROR(AG43+0,0))))</f>
        <v/>
      </c>
      <c r="AI43" s="43" t="n"/>
      <c r="AJ43" s="36">
        <f>IF(B43="","",IF(OR(J43="G",J43="D"),0,I43)+IF(OR(O43="G",O43="D"),0,N43)+IF(OR(T43="G",T43="D"),0,S43)+IF(OR(Y43="G",Y43="D"),0,X43)+IF(OR(AD43="G",AD43="D"),0,AC43)+IF(OR(AI43="G",AI43="D"),0,AH43))</f>
        <v/>
      </c>
      <c r="AK43" s="37">
        <f>IF(OR(B43="",AJ43=0),"-",RANK.EQ(AJ43,$AJ$6:$AJ$45,0))</f>
        <v/>
      </c>
      <c r="AL43" s="43">
        <f>IF(OR(B43="",I43=0),"-",IF(OR(J43="G",J43="D"),IF(J43="G","G","D"),COUNTIF($I$6:$I$45,"&gt;"&amp;I43)+1))</f>
        <v/>
      </c>
      <c r="AM43" s="43">
        <f>IF(OR(B43="",N43=0),"-",IF(OR(O43="G",O43="D"),IF(O43="G","G","D"),COUNTIF($N$6:$N$45,"&gt;"&amp;N43)+1))</f>
        <v/>
      </c>
      <c r="AN43" s="43">
        <f>IF(OR(B43="",S43=0),"-",IF(OR(T43="G",T43="D"),IF(T43="G","G","D"),COUNTIF($S$6:$S$45,"&gt;"&amp;S43)+1))</f>
        <v/>
      </c>
      <c r="AO43" s="43">
        <f>IF(OR(B43="",X43=0),"-",IF(OR(Y43="G",Y43="D"),IF(Y43="G","G","D"),COUNTIF($X$6:$X$45,"&gt;"&amp;X43)+1))</f>
        <v/>
      </c>
      <c r="AP43" s="43">
        <f>IF(OR(B43="",AC43=0),"-",IF(OR(AD43="G",AD43="D"),IF(AD43="G","G","D"),COUNTIF($AC$6:$AC$45,"&gt;"&amp;AC43)+1))</f>
        <v/>
      </c>
      <c r="AQ43" s="43">
        <f>IF(OR(B43="",AH43=0),"-",IF(OR(AI43="G",AI43="D"),IF(AI43="G","G","D"),COUNTIF($AH$6:$AH$45,"&gt;"&amp;AH43)+1))</f>
        <v/>
      </c>
    </row>
    <row r="44">
      <c r="A44" s="29" t="n">
        <v>39</v>
      </c>
      <c r="B44" s="30" t="n"/>
      <c r="C44" s="30" t="n"/>
      <c r="D44" s="31" t="n"/>
      <c r="E44" s="32" t="n"/>
      <c r="F44" s="33" t="n"/>
      <c r="G44" s="33" t="n"/>
      <c r="H44" s="33" t="n"/>
      <c r="I44" s="34">
        <f>IF(OR(J44="G",J44="D"),0,IF(AND(F44="",G44=""),0,MAX(0,IFERROR(F44+0,0)+IFERROR(G44+0,0)-IFERROR(H44+0,0))))</f>
        <v/>
      </c>
      <c r="J44" s="35" t="n"/>
      <c r="K44" s="33" t="n"/>
      <c r="L44" s="33" t="n"/>
      <c r="M44" s="33" t="n"/>
      <c r="N44" s="34">
        <f>IF(OR(O44="G",O44="D"),0,IF(AND(K44="",L44=""),0,MAX(0,IFERROR(K44+0,0)+IFERROR(L44+0,0)-IFERROR(M44+0,0))))</f>
        <v/>
      </c>
      <c r="O44" s="35" t="n"/>
      <c r="P44" s="33" t="n"/>
      <c r="Q44" s="33" t="n"/>
      <c r="R44" s="33" t="n"/>
      <c r="S44" s="34">
        <f>IF(OR(T44="G",T44="D"),0,IF(AND(P44="",Q44=""),0,MAX(0,IFERROR(P44+0,0)+IFERROR(Q44+0,0)-IFERROR(R44+0,0))))</f>
        <v/>
      </c>
      <c r="T44" s="35" t="n"/>
      <c r="U44" s="33" t="n"/>
      <c r="V44" s="33" t="n"/>
      <c r="W44" s="33" t="n"/>
      <c r="X44" s="34">
        <f>IF(OR(Y44="G",Y44="D"),0,IF(AND(U44="",V44=""),0,MAX(0,IFERROR(U44+0,0)+IFERROR(V44+0,0)-IFERROR(W44+0,0))))</f>
        <v/>
      </c>
      <c r="Y44" s="35" t="n"/>
      <c r="Z44" s="33" t="n"/>
      <c r="AA44" s="33" t="n"/>
      <c r="AB44" s="33" t="n"/>
      <c r="AC44" s="34">
        <f>IF(OR(AD44="G",AD44="D"),0,IF(AND(Z44="",AA44=""),0,MAX(0,IFERROR(Z44+0,0)+IFERROR(AA44+0,0)-IFERROR(AB44+0,0))))</f>
        <v/>
      </c>
      <c r="AD44" s="35" t="n"/>
      <c r="AE44" s="33" t="n"/>
      <c r="AF44" s="33" t="n"/>
      <c r="AG44" s="33" t="n"/>
      <c r="AH44" s="34">
        <f>IF(OR(AI44="G",AI44="D"),0,IF(AND(AE44="",AF44=""),0,MAX(0,IFERROR(AE44+0,0)+IFERROR(AF44+0,0)-IFERROR(AG44+0,0))))</f>
        <v/>
      </c>
      <c r="AI44" s="35" t="n"/>
      <c r="AJ44" s="36">
        <f>IF(B44="","",IF(OR(J44="G",J44="D"),0,I44)+IF(OR(O44="G",O44="D"),0,N44)+IF(OR(T44="G",T44="D"),0,S44)+IF(OR(Y44="G",Y44="D"),0,X44)+IF(OR(AD44="G",AD44="D"),0,AC44)+IF(OR(AI44="G",AI44="D"),0,AH44))</f>
        <v/>
      </c>
      <c r="AK44" s="37">
        <f>IF(OR(B44="",AJ44=0),"-",RANK.EQ(AJ44,$AJ$6:$AJ$45,0))</f>
        <v/>
      </c>
      <c r="AL44" s="35">
        <f>IF(OR(B44="",I44=0),"-",IF(OR(J44="G",J44="D"),IF(J44="G","G","D"),COUNTIF($I$6:$I$45,"&gt;"&amp;I44)+1))</f>
        <v/>
      </c>
      <c r="AM44" s="35">
        <f>IF(OR(B44="",N44=0),"-",IF(OR(O44="G",O44="D"),IF(O44="G","G","D"),COUNTIF($N$6:$N$45,"&gt;"&amp;N44)+1))</f>
        <v/>
      </c>
      <c r="AN44" s="35">
        <f>IF(OR(B44="",S44=0),"-",IF(OR(T44="G",T44="D"),IF(T44="G","G","D"),COUNTIF($S$6:$S$45,"&gt;"&amp;S44)+1))</f>
        <v/>
      </c>
      <c r="AO44" s="35">
        <f>IF(OR(B44="",X44=0),"-",IF(OR(Y44="G",Y44="D"),IF(Y44="G","G","D"),COUNTIF($X$6:$X$45,"&gt;"&amp;X44)+1))</f>
        <v/>
      </c>
      <c r="AP44" s="35">
        <f>IF(OR(B44="",AC44=0),"-",IF(OR(AD44="G",AD44="D"),IF(AD44="G","G","D"),COUNTIF($AC$6:$AC$45,"&gt;"&amp;AC44)+1))</f>
        <v/>
      </c>
      <c r="AQ44" s="35">
        <f>IF(OR(B44="",AH44=0),"-",IF(OR(AI44="G",AI44="D"),IF(AI44="G","G","D"),COUNTIF($AH$6:$AH$45,"&gt;"&amp;AH44)+1))</f>
        <v/>
      </c>
    </row>
    <row r="45">
      <c r="A45" s="38" t="n">
        <v>40</v>
      </c>
      <c r="B45" s="39" t="n"/>
      <c r="C45" s="39" t="n"/>
      <c r="D45" s="40" t="n"/>
      <c r="E45" s="41" t="n"/>
      <c r="F45" s="42" t="n"/>
      <c r="G45" s="42" t="n"/>
      <c r="H45" s="42" t="n"/>
      <c r="I45" s="34">
        <f>IF(OR(J45="G",J45="D"),0,IF(AND(F45="",G45=""),0,MAX(0,IFERROR(F45+0,0)+IFERROR(G45+0,0)-IFERROR(H45+0,0))))</f>
        <v/>
      </c>
      <c r="J45" s="43" t="n"/>
      <c r="K45" s="42" t="n"/>
      <c r="L45" s="42" t="n"/>
      <c r="M45" s="42" t="n"/>
      <c r="N45" s="34">
        <f>IF(OR(O45="G",O45="D"),0,IF(AND(K45="",L45=""),0,MAX(0,IFERROR(K45+0,0)+IFERROR(L45+0,0)-IFERROR(M45+0,0))))</f>
        <v/>
      </c>
      <c r="O45" s="43" t="n"/>
      <c r="P45" s="42" t="n"/>
      <c r="Q45" s="42" t="n"/>
      <c r="R45" s="42" t="n"/>
      <c r="S45" s="34">
        <f>IF(OR(T45="G",T45="D"),0,IF(AND(P45="",Q45=""),0,MAX(0,IFERROR(P45+0,0)+IFERROR(Q45+0,0)-IFERROR(R45+0,0))))</f>
        <v/>
      </c>
      <c r="T45" s="43" t="n"/>
      <c r="U45" s="42" t="n"/>
      <c r="V45" s="42" t="n"/>
      <c r="W45" s="42" t="n"/>
      <c r="X45" s="34">
        <f>IF(OR(Y45="G",Y45="D"),0,IF(AND(U45="",V45=""),0,MAX(0,IFERROR(U45+0,0)+IFERROR(V45+0,0)-IFERROR(W45+0,0))))</f>
        <v/>
      </c>
      <c r="Y45" s="43" t="n"/>
      <c r="Z45" s="42" t="n"/>
      <c r="AA45" s="42" t="n"/>
      <c r="AB45" s="42" t="n"/>
      <c r="AC45" s="34">
        <f>IF(OR(AD45="G",AD45="D"),0,IF(AND(Z45="",AA45=""),0,MAX(0,IFERROR(Z45+0,0)+IFERROR(AA45+0,0)-IFERROR(AB45+0,0))))</f>
        <v/>
      </c>
      <c r="AD45" s="43" t="n"/>
      <c r="AE45" s="42" t="n"/>
      <c r="AF45" s="42" t="n"/>
      <c r="AG45" s="42" t="n"/>
      <c r="AH45" s="34">
        <f>IF(OR(AI45="G",AI45="D"),0,IF(AND(AE45="",AF45=""),0,MAX(0,IFERROR(AE45+0,0)+IFERROR(AF45+0,0)-IFERROR(AG45+0,0))))</f>
        <v/>
      </c>
      <c r="AI45" s="43" t="n"/>
      <c r="AJ45" s="36">
        <f>IF(B45="","",IF(OR(J45="G",J45="D"),0,I45)+IF(OR(O45="G",O45="D"),0,N45)+IF(OR(T45="G",T45="D"),0,S45)+IF(OR(Y45="G",Y45="D"),0,X45)+IF(OR(AD45="G",AD45="D"),0,AC45)+IF(OR(AI45="G",AI45="D"),0,AH45))</f>
        <v/>
      </c>
      <c r="AK45" s="37">
        <f>IF(OR(B45="",AJ45=0),"-",RANK.EQ(AJ45,$AJ$6:$AJ$45,0))</f>
        <v/>
      </c>
      <c r="AL45" s="43">
        <f>IF(OR(B45="",I45=0),"-",IF(OR(J45="G",J45="D"),IF(J45="G","G","D"),COUNTIF($I$6:$I$45,"&gt;"&amp;I45)+1))</f>
        <v/>
      </c>
      <c r="AM45" s="43">
        <f>IF(OR(B45="",N45=0),"-",IF(OR(O45="G",O45="D"),IF(O45="G","G","D"),COUNTIF($N$6:$N$45,"&gt;"&amp;N45)+1))</f>
        <v/>
      </c>
      <c r="AN45" s="43">
        <f>IF(OR(B45="",S45=0),"-",IF(OR(T45="G",T45="D"),IF(T45="G","G","D"),COUNTIF($S$6:$S$45,"&gt;"&amp;S45)+1))</f>
        <v/>
      </c>
      <c r="AO45" s="43">
        <f>IF(OR(B45="",X45=0),"-",IF(OR(Y45="G",Y45="D"),IF(Y45="G","G","D"),COUNTIF($X$6:$X$45,"&gt;"&amp;X45)+1))</f>
        <v/>
      </c>
      <c r="AP45" s="43">
        <f>IF(OR(B45="",AC45=0),"-",IF(OR(AD45="G",AD45="D"),IF(AD45="G","G","D"),COUNTIF($AC$6:$AC$45,"&gt;"&amp;AC45)+1))</f>
        <v/>
      </c>
      <c r="AQ45" s="43">
        <f>IF(OR(B45="",AH45=0),"-",IF(OR(AI45="G",AI45="D"),IF(AI45="G","G","D"),COUNTIF($AH$6:$AH$45,"&gt;"&amp;AH45)+1))</f>
        <v/>
      </c>
    </row>
    <row r="47">
      <c r="A47" s="44">
        <f>COUNTA(B6:B45)&amp;" sporcu kayıtlı"</f>
        <v/>
      </c>
    </row>
  </sheetData>
  <mergeCells count="11">
    <mergeCell ref="K3:O3"/>
    <mergeCell ref="Z3:AD3"/>
    <mergeCell ref="F3:J3"/>
    <mergeCell ref="P3:T3"/>
    <mergeCell ref="AE3:AI3"/>
    <mergeCell ref="A5:AQ5"/>
    <mergeCell ref="U3:Y3"/>
    <mergeCell ref="A2:AQ2"/>
    <mergeCell ref="A47:E47"/>
    <mergeCell ref="A1:AQ1"/>
    <mergeCell ref="AL3:AQ3"/>
  </mergeCells>
  <conditionalFormatting sqref="AK6:AK45">
    <cfRule type="cellIs" priority="1" operator="equal" dxfId="0">
      <formula>1</formula>
    </cfRule>
    <cfRule type="cellIs" priority="2" operator="equal" dxfId="1">
      <formula>2</formula>
    </cfRule>
    <cfRule type="cellIs" priority="3" operator="equal" dxfId="2">
      <formula>3</formula>
    </cfRule>
  </conditionalFormatting>
  <conditionalFormatting sqref="J6:J45">
    <cfRule type="cellIs" priority="4" operator="equal" dxfId="3">
      <formula>"G"</formula>
    </cfRule>
    <cfRule type="cellIs" priority="5" operator="equal" dxfId="4">
      <formula>"D"</formula>
    </cfRule>
  </conditionalFormatting>
  <conditionalFormatting sqref="O6:O45">
    <cfRule type="cellIs" priority="6" operator="equal" dxfId="3">
      <formula>"G"</formula>
    </cfRule>
    <cfRule type="cellIs" priority="7" operator="equal" dxfId="4">
      <formula>"D"</formula>
    </cfRule>
  </conditionalFormatting>
  <conditionalFormatting sqref="T6:T45">
    <cfRule type="cellIs" priority="8" operator="equal" dxfId="3">
      <formula>"G"</formula>
    </cfRule>
    <cfRule type="cellIs" priority="9" operator="equal" dxfId="4">
      <formula>"D"</formula>
    </cfRule>
  </conditionalFormatting>
  <conditionalFormatting sqref="Y6:Y45">
    <cfRule type="cellIs" priority="10" operator="equal" dxfId="3">
      <formula>"G"</formula>
    </cfRule>
    <cfRule type="cellIs" priority="11" operator="equal" dxfId="4">
      <formula>"D"</formula>
    </cfRule>
  </conditionalFormatting>
  <conditionalFormatting sqref="AD6:AD45">
    <cfRule type="cellIs" priority="12" operator="equal" dxfId="3">
      <formula>"G"</formula>
    </cfRule>
    <cfRule type="cellIs" priority="13" operator="equal" dxfId="4">
      <formula>"D"</formula>
    </cfRule>
  </conditionalFormatting>
  <conditionalFormatting sqref="AI6:AI45">
    <cfRule type="cellIs" priority="14" operator="equal" dxfId="3">
      <formula>"G"</formula>
    </cfRule>
    <cfRule type="cellIs" priority="15" operator="equal" dxfId="4">
      <formula>"D"</formula>
    </cfRule>
  </conditionalFormatting>
  <dataValidations count="2">
    <dataValidation sqref="E6 E7 E8 E9 E10 E11 E12 E13 E14 E15 E16 E17 E18 E19 E20 E21 E22 E23 E24 E25 E26 E27 E28 E29 E30 E31 E32 E33 E34 E35 E36 E37 E38 E39 E40 E41 E42 E43 E44 E45" showDropDown="0" showInputMessage="0" showErrorMessage="0" allowBlank="1" type="list">
      <formula1>"Bireysel,Takım"</formula1>
    </dataValidation>
    <dataValidation sqref="J6 J7 J8 J9 J10 J11 J12 J13 J14 J15 J16 J17 J18 J19 J20 J21 J22 J23 J24 J25 J26 J27 J28 J29 J30 J31 J32 J33 J34 J35 J36 J37 J38 J39 J40 J41 J42 J43 J44 J45 O6 O7 O8 O9 O10 O11 O12 O13 O14 O15 O16 O17 O18 O19 O20 O21 O22 O23 O24 O25 O26 O27 O28 O29 O30 O31 O32 O33 O34 O35 O36 O37 O38 O39 O40 O41 O42 O43 O44 O45 T6 T7 T8 T9 T10 T11 T12 T13 T14 T15 T16 T17 T18 T19 T20 T21 T22 T23 T24 T25 T26 T27 T28 T29 T30 T31 T32 T33 T34 T35 T36 T37 T38 T39 T40 T41 T42 T43 T44 T45 Y6 Y7 Y8 Y9 Y10 Y11 Y12 Y13 Y14 Y15 Y16 Y17 Y18 Y19 Y20 Y21 Y22 Y23 Y24 Y25 Y26 Y27 Y28 Y29 Y30 Y31 Y32 Y33 Y34 Y35 Y36 Y37 Y38 Y39 Y40 Y41 Y42 Y43 Y44 Y45 AD6 AD7 AD8 AD9 AD10 AD11 AD12 AD13 AD14 AD15 AD16 AD17 AD18 AD19 AD20 AD21 AD22 AD23 AD24 AD25 AD26 AD27 AD28 AD29 AD30 AD31 AD32 AD33 AD34 AD35 AD36 AD37 AD38 AD39 AD40 AD41 AD42 AD43 AD44 AD45 AI6 AI7 AI8 AI9 AI10 AI11 AI12 AI13 AI14 AI15 AI16 AI17 AI18 AI19 AI20 AI21 AI22 AI23 AI24 AI25 AI26 AI27 AI28 AI29 AI30 AI31 AI32 AI33 AI34 AI35 AI36 AI37 AI38 AI39 AI40 AI41 AI42 AI43 AI44 AI45" showDropDown="0" showInputMessage="0" showErrorMessage="0" allowBlank="1" type="list">
      <formula1>"N,G,D"</formula1>
    </dataValidation>
  </dataValidations>
  <pageMargins left="0.4" right="0.4" top="0.5" bottom="0.5" header="0.5" footer="0.5"/>
  <pageSetup orientation="landscape" fitToWidth="1"/>
</worksheet>
</file>

<file path=xl/worksheets/sheet11.xml><?xml version="1.0" encoding="utf-8"?>
<worksheet xmlns="http://schemas.openxmlformats.org/spreadsheetml/2006/main">
  <sheetPr>
    <outlinePr summaryBelow="1" summaryRight="1"/>
    <pageSetUpPr fitToPage="1"/>
  </sheetPr>
  <dimension ref="A1:AE4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4" customWidth="1" min="3" max="3"/>
    <col width="26" customWidth="1" min="4" max="4"/>
    <col width="10" customWidth="1" min="5" max="5"/>
    <col width="6.5" customWidth="1" min="6" max="6"/>
    <col width="6.5" customWidth="1" min="7" max="7"/>
    <col width="6.5" customWidth="1" min="8" max="8"/>
    <col width="9" customWidth="1" min="9" max="9"/>
    <col width="6" customWidth="1" min="10" max="10"/>
    <col width="6.5" customWidth="1" min="11" max="11"/>
    <col width="6.5" customWidth="1" min="12" max="12"/>
    <col width="6.5" customWidth="1" min="13" max="13"/>
    <col width="9" customWidth="1" min="14" max="14"/>
    <col width="6" customWidth="1" min="15" max="15"/>
    <col width="6.5" customWidth="1" min="16" max="16"/>
    <col width="6.5" customWidth="1" min="17" max="17"/>
    <col width="6.5" customWidth="1" min="18" max="18"/>
    <col width="9" customWidth="1" min="19" max="19"/>
    <col width="6" customWidth="1" min="20" max="20"/>
    <col width="6.5" customWidth="1" min="21" max="21"/>
    <col width="6.5" customWidth="1" min="22" max="22"/>
    <col width="6.5" customWidth="1" min="23" max="23"/>
    <col width="9" customWidth="1" min="24" max="24"/>
    <col width="6" customWidth="1" min="25" max="25"/>
    <col width="11" customWidth="1" min="26" max="26"/>
    <col width="9" customWidth="1" min="27" max="27"/>
    <col width="7" customWidth="1" min="28" max="28"/>
    <col width="7" customWidth="1" min="29" max="29"/>
    <col width="7" customWidth="1" min="30" max="30"/>
    <col width="7" customWidth="1" min="31" max="31"/>
  </cols>
  <sheetData>
    <row r="1" ht="32" customHeight="1">
      <c r="A1" s="22" t="inlineStr">
        <is>
          <t>GENÇ KIZLAR</t>
        </is>
      </c>
    </row>
    <row r="2" ht="15" customHeight="1">
      <c r="A2" s="23">
        <f>'YARIŞMA BİLGİLERİ'!C3&amp;"  —  "&amp;'YARIŞMA BİLGİLERİ'!C4&amp;"  |  "&amp;'YARIŞMA BİLGİLERİ'!C5</f>
        <v/>
      </c>
    </row>
    <row r="3" ht="22" customHeight="1">
      <c r="A3" s="24" t="n"/>
      <c r="B3" s="24" t="n"/>
      <c r="C3" s="24" t="n"/>
      <c r="D3" s="24" t="n"/>
      <c r="E3" s="24" t="n"/>
      <c r="F3" s="25" t="inlineStr">
        <is>
          <t>ATLAMA (VT)</t>
        </is>
      </c>
      <c r="G3" s="24" t="n"/>
      <c r="H3" s="24" t="n"/>
      <c r="I3" s="24" t="n"/>
      <c r="J3" s="24" t="n"/>
      <c r="K3" s="25" t="inlineStr">
        <is>
          <t>AS.PARALEL (UB)</t>
        </is>
      </c>
      <c r="L3" s="24" t="n"/>
      <c r="M3" s="24" t="n"/>
      <c r="N3" s="24" t="n"/>
      <c r="O3" s="24" t="n"/>
      <c r="P3" s="25" t="inlineStr">
        <is>
          <t>DENGE (BB)</t>
        </is>
      </c>
      <c r="Q3" s="24" t="n"/>
      <c r="R3" s="24" t="n"/>
      <c r="S3" s="24" t="n"/>
      <c r="T3" s="24" t="n"/>
      <c r="U3" s="25" t="inlineStr">
        <is>
          <t>SERBEST (FX)</t>
        </is>
      </c>
      <c r="V3" s="24" t="n"/>
      <c r="W3" s="24" t="n"/>
      <c r="X3" s="24" t="n"/>
      <c r="Y3" s="24" t="n"/>
      <c r="Z3" s="24" t="n"/>
      <c r="AA3" s="24" t="n"/>
      <c r="AB3" s="26" t="inlineStr">
        <is>
          <t>ALET SIRALARI  (Eleme Seçimi için)</t>
        </is>
      </c>
      <c r="AC3" s="24" t="n"/>
      <c r="AD3" s="24" t="n"/>
      <c r="AE3" s="24" t="n"/>
    </row>
    <row r="4" ht="30" customHeight="1">
      <c r="A4" s="27" t="inlineStr">
        <is>
          <t>No</t>
        </is>
      </c>
      <c r="B4" s="27" t="inlineStr">
        <is>
          <t>Ad</t>
        </is>
      </c>
      <c r="C4" s="27" t="inlineStr">
        <is>
          <t>Soyad</t>
        </is>
      </c>
      <c r="D4" s="27" t="inlineStr">
        <is>
          <t>Okul / Kulüp</t>
        </is>
      </c>
      <c r="E4" s="27" t="inlineStr">
        <is>
          <t>Tür</t>
        </is>
      </c>
      <c r="F4" s="27" t="inlineStr">
        <is>
          <t>D</t>
        </is>
      </c>
      <c r="G4" s="27" t="inlineStr">
        <is>
          <t>E</t>
        </is>
      </c>
      <c r="H4" s="27" t="inlineStr">
        <is>
          <t>ND</t>
        </is>
      </c>
      <c r="I4" s="27" t="inlineStr">
        <is>
          <t>Final</t>
        </is>
      </c>
      <c r="J4" s="27" t="inlineStr">
        <is>
          <t>Dur</t>
        </is>
      </c>
      <c r="K4" s="27" t="inlineStr">
        <is>
          <t>D</t>
        </is>
      </c>
      <c r="L4" s="27" t="inlineStr">
        <is>
          <t>E</t>
        </is>
      </c>
      <c r="M4" s="27" t="inlineStr">
        <is>
          <t>ND</t>
        </is>
      </c>
      <c r="N4" s="27" t="inlineStr">
        <is>
          <t>Final</t>
        </is>
      </c>
      <c r="O4" s="27" t="inlineStr">
        <is>
          <t>Dur</t>
        </is>
      </c>
      <c r="P4" s="27" t="inlineStr">
        <is>
          <t>D</t>
        </is>
      </c>
      <c r="Q4" s="27" t="inlineStr">
        <is>
          <t>E</t>
        </is>
      </c>
      <c r="R4" s="27" t="inlineStr">
        <is>
          <t>ND</t>
        </is>
      </c>
      <c r="S4" s="27" t="inlineStr">
        <is>
          <t>Final</t>
        </is>
      </c>
      <c r="T4" s="27" t="inlineStr">
        <is>
          <t>Dur</t>
        </is>
      </c>
      <c r="U4" s="27" t="inlineStr">
        <is>
          <t>D</t>
        </is>
      </c>
      <c r="V4" s="27" t="inlineStr">
        <is>
          <t>E</t>
        </is>
      </c>
      <c r="W4" s="27" t="inlineStr">
        <is>
          <t>ND</t>
        </is>
      </c>
      <c r="X4" s="27" t="inlineStr">
        <is>
          <t>Final</t>
        </is>
      </c>
      <c r="Y4" s="27" t="inlineStr">
        <is>
          <t>Dur</t>
        </is>
      </c>
      <c r="Z4" s="27" t="inlineStr">
        <is>
          <t>TOPLAM</t>
        </is>
      </c>
      <c r="AA4" s="27" t="inlineStr">
        <is>
          <t>SIRALAMA</t>
        </is>
      </c>
      <c r="AB4" s="27" t="inlineStr">
        <is>
          <t>VT</t>
        </is>
      </c>
      <c r="AC4" s="27" t="inlineStr">
        <is>
          <t>UB</t>
        </is>
      </c>
      <c r="AD4" s="27" t="inlineStr">
        <is>
          <t>BB</t>
        </is>
      </c>
      <c r="AE4" s="27" t="inlineStr">
        <is>
          <t>FX</t>
        </is>
      </c>
    </row>
    <row r="5" ht="13" customHeight="1">
      <c r="A5" s="28" t="inlineStr">
        <is>
          <t>Final = MAX(0, D+E−ND)  |  Dur: N=Normal · G=Gecersiz · D=Yarışmadı/DNS  |  Mavi sütun = formül (elle girme)  |  Yeşil = Toplam  |  Sarı = Sıralama</t>
        </is>
      </c>
    </row>
    <row r="6">
      <c r="A6" s="29" t="n">
        <v>1</v>
      </c>
      <c r="B6" s="30" t="n"/>
      <c r="C6" s="30" t="n"/>
      <c r="D6" s="31" t="n"/>
      <c r="E6" s="32" t="n"/>
      <c r="F6" s="33" t="n"/>
      <c r="G6" s="33" t="n"/>
      <c r="H6" s="33" t="n"/>
      <c r="I6" s="34">
        <f>IF(OR(J6="G",J6="D"),0,IF(AND(F6="",G6=""),0,MAX(0,IFERROR(F6+0,0)+IFERROR(G6+0,0)-IFERROR(H6+0,0))))</f>
        <v/>
      </c>
      <c r="J6" s="35" t="n"/>
      <c r="K6" s="33" t="n"/>
      <c r="L6" s="33" t="n"/>
      <c r="M6" s="33" t="n"/>
      <c r="N6" s="34">
        <f>IF(OR(O6="G",O6="D"),0,IF(AND(K6="",L6=""),0,MAX(0,IFERROR(K6+0,0)+IFERROR(L6+0,0)-IFERROR(M6+0,0))))</f>
        <v/>
      </c>
      <c r="O6" s="35" t="n"/>
      <c r="P6" s="33" t="n"/>
      <c r="Q6" s="33" t="n"/>
      <c r="R6" s="33" t="n"/>
      <c r="S6" s="34">
        <f>IF(OR(T6="G",T6="D"),0,IF(AND(P6="",Q6=""),0,MAX(0,IFERROR(P6+0,0)+IFERROR(Q6+0,0)-IFERROR(R6+0,0))))</f>
        <v/>
      </c>
      <c r="T6" s="35" t="n"/>
      <c r="U6" s="33" t="n"/>
      <c r="V6" s="33" t="n"/>
      <c r="W6" s="33" t="n"/>
      <c r="X6" s="34">
        <f>IF(OR(Y6="G",Y6="D"),0,IF(AND(U6="",V6=""),0,MAX(0,IFERROR(U6+0,0)+IFERROR(V6+0,0)-IFERROR(W6+0,0))))</f>
        <v/>
      </c>
      <c r="Y6" s="35" t="n"/>
      <c r="Z6" s="36">
        <f>IF(B6="","",IF(OR(J6="G",J6="D"),0,I6)+IF(OR(O6="G",O6="D"),0,N6)+IF(OR(T6="G",T6="D"),0,S6)+IF(OR(Y6="G",Y6="D"),0,X6))</f>
        <v/>
      </c>
      <c r="AA6" s="37">
        <f>IF(OR(B6="",Z6=0),"-",RANK.EQ(Z6,$Z$6:$Z$45,0))</f>
        <v/>
      </c>
      <c r="AB6" s="35">
        <f>IF(OR(B6="",I6=0),"-",IF(OR(J6="G",J6="D"),IF(J6="G","G","D"),COUNTIF($I$6:$I$45,"&gt;"&amp;I6)+1))</f>
        <v/>
      </c>
      <c r="AC6" s="35">
        <f>IF(OR(B6="",N6=0),"-",IF(OR(O6="G",O6="D"),IF(O6="G","G","D"),COUNTIF($N$6:$N$45,"&gt;"&amp;N6)+1))</f>
        <v/>
      </c>
      <c r="AD6" s="35">
        <f>IF(OR(B6="",S6=0),"-",IF(OR(T6="G",T6="D"),IF(T6="G","G","D"),COUNTIF($S$6:$S$45,"&gt;"&amp;S6)+1))</f>
        <v/>
      </c>
      <c r="AE6" s="35">
        <f>IF(OR(B6="",X6=0),"-",IF(OR(Y6="G",Y6="D"),IF(Y6="G","G","D"),COUNTIF($X$6:$X$45,"&gt;"&amp;X6)+1))</f>
        <v/>
      </c>
    </row>
    <row r="7">
      <c r="A7" s="38" t="n">
        <v>2</v>
      </c>
      <c r="B7" s="39" t="n"/>
      <c r="C7" s="39" t="n"/>
      <c r="D7" s="40" t="n"/>
      <c r="E7" s="41" t="n"/>
      <c r="F7" s="42" t="n"/>
      <c r="G7" s="42" t="n"/>
      <c r="H7" s="42" t="n"/>
      <c r="I7" s="34">
        <f>IF(OR(J7="G",J7="D"),0,IF(AND(F7="",G7=""),0,MAX(0,IFERROR(F7+0,0)+IFERROR(G7+0,0)-IFERROR(H7+0,0))))</f>
        <v/>
      </c>
      <c r="J7" s="43" t="n"/>
      <c r="K7" s="42" t="n"/>
      <c r="L7" s="42" t="n"/>
      <c r="M7" s="42" t="n"/>
      <c r="N7" s="34">
        <f>IF(OR(O7="G",O7="D"),0,IF(AND(K7="",L7=""),0,MAX(0,IFERROR(K7+0,0)+IFERROR(L7+0,0)-IFERROR(M7+0,0))))</f>
        <v/>
      </c>
      <c r="O7" s="43" t="n"/>
      <c r="P7" s="42" t="n"/>
      <c r="Q7" s="42" t="n"/>
      <c r="R7" s="42" t="n"/>
      <c r="S7" s="34">
        <f>IF(OR(T7="G",T7="D"),0,IF(AND(P7="",Q7=""),0,MAX(0,IFERROR(P7+0,0)+IFERROR(Q7+0,0)-IFERROR(R7+0,0))))</f>
        <v/>
      </c>
      <c r="T7" s="43" t="n"/>
      <c r="U7" s="42" t="n"/>
      <c r="V7" s="42" t="n"/>
      <c r="W7" s="42" t="n"/>
      <c r="X7" s="34">
        <f>IF(OR(Y7="G",Y7="D"),0,IF(AND(U7="",V7=""),0,MAX(0,IFERROR(U7+0,0)+IFERROR(V7+0,0)-IFERROR(W7+0,0))))</f>
        <v/>
      </c>
      <c r="Y7" s="43" t="n"/>
      <c r="Z7" s="36">
        <f>IF(B7="","",IF(OR(J7="G",J7="D"),0,I7)+IF(OR(O7="G",O7="D"),0,N7)+IF(OR(T7="G",T7="D"),0,S7)+IF(OR(Y7="G",Y7="D"),0,X7))</f>
        <v/>
      </c>
      <c r="AA7" s="37">
        <f>IF(OR(B7="",Z7=0),"-",RANK.EQ(Z7,$Z$6:$Z$45,0))</f>
        <v/>
      </c>
      <c r="AB7" s="43">
        <f>IF(OR(B7="",I7=0),"-",IF(OR(J7="G",J7="D"),IF(J7="G","G","D"),COUNTIF($I$6:$I$45,"&gt;"&amp;I7)+1))</f>
        <v/>
      </c>
      <c r="AC7" s="43">
        <f>IF(OR(B7="",N7=0),"-",IF(OR(O7="G",O7="D"),IF(O7="G","G","D"),COUNTIF($N$6:$N$45,"&gt;"&amp;N7)+1))</f>
        <v/>
      </c>
      <c r="AD7" s="43">
        <f>IF(OR(B7="",S7=0),"-",IF(OR(T7="G",T7="D"),IF(T7="G","G","D"),COUNTIF($S$6:$S$45,"&gt;"&amp;S7)+1))</f>
        <v/>
      </c>
      <c r="AE7" s="43">
        <f>IF(OR(B7="",X7=0),"-",IF(OR(Y7="G",Y7="D"),IF(Y7="G","G","D"),COUNTIF($X$6:$X$45,"&gt;"&amp;X7)+1))</f>
        <v/>
      </c>
    </row>
    <row r="8">
      <c r="A8" s="29" t="n">
        <v>3</v>
      </c>
      <c r="B8" s="30" t="n"/>
      <c r="C8" s="30" t="n"/>
      <c r="D8" s="31" t="n"/>
      <c r="E8" s="32" t="n"/>
      <c r="F8" s="33" t="n"/>
      <c r="G8" s="33" t="n"/>
      <c r="H8" s="33" t="n"/>
      <c r="I8" s="34">
        <f>IF(OR(J8="G",J8="D"),0,IF(AND(F8="",G8=""),0,MAX(0,IFERROR(F8+0,0)+IFERROR(G8+0,0)-IFERROR(H8+0,0))))</f>
        <v/>
      </c>
      <c r="J8" s="35" t="n"/>
      <c r="K8" s="33" t="n"/>
      <c r="L8" s="33" t="n"/>
      <c r="M8" s="33" t="n"/>
      <c r="N8" s="34">
        <f>IF(OR(O8="G",O8="D"),0,IF(AND(K8="",L8=""),0,MAX(0,IFERROR(K8+0,0)+IFERROR(L8+0,0)-IFERROR(M8+0,0))))</f>
        <v/>
      </c>
      <c r="O8" s="35" t="n"/>
      <c r="P8" s="33" t="n"/>
      <c r="Q8" s="33" t="n"/>
      <c r="R8" s="33" t="n"/>
      <c r="S8" s="34">
        <f>IF(OR(T8="G",T8="D"),0,IF(AND(P8="",Q8=""),0,MAX(0,IFERROR(P8+0,0)+IFERROR(Q8+0,0)-IFERROR(R8+0,0))))</f>
        <v/>
      </c>
      <c r="T8" s="35" t="n"/>
      <c r="U8" s="33" t="n"/>
      <c r="V8" s="33" t="n"/>
      <c r="W8" s="33" t="n"/>
      <c r="X8" s="34">
        <f>IF(OR(Y8="G",Y8="D"),0,IF(AND(U8="",V8=""),0,MAX(0,IFERROR(U8+0,0)+IFERROR(V8+0,0)-IFERROR(W8+0,0))))</f>
        <v/>
      </c>
      <c r="Y8" s="35" t="n"/>
      <c r="Z8" s="36">
        <f>IF(B8="","",IF(OR(J8="G",J8="D"),0,I8)+IF(OR(O8="G",O8="D"),0,N8)+IF(OR(T8="G",T8="D"),0,S8)+IF(OR(Y8="G",Y8="D"),0,X8))</f>
        <v/>
      </c>
      <c r="AA8" s="37">
        <f>IF(OR(B8="",Z8=0),"-",RANK.EQ(Z8,$Z$6:$Z$45,0))</f>
        <v/>
      </c>
      <c r="AB8" s="35">
        <f>IF(OR(B8="",I8=0),"-",IF(OR(J8="G",J8="D"),IF(J8="G","G","D"),COUNTIF($I$6:$I$45,"&gt;"&amp;I8)+1))</f>
        <v/>
      </c>
      <c r="AC8" s="35">
        <f>IF(OR(B8="",N8=0),"-",IF(OR(O8="G",O8="D"),IF(O8="G","G","D"),COUNTIF($N$6:$N$45,"&gt;"&amp;N8)+1))</f>
        <v/>
      </c>
      <c r="AD8" s="35">
        <f>IF(OR(B8="",S8=0),"-",IF(OR(T8="G",T8="D"),IF(T8="G","G","D"),COUNTIF($S$6:$S$45,"&gt;"&amp;S8)+1))</f>
        <v/>
      </c>
      <c r="AE8" s="35">
        <f>IF(OR(B8="",X8=0),"-",IF(OR(Y8="G",Y8="D"),IF(Y8="G","G","D"),COUNTIF($X$6:$X$45,"&gt;"&amp;X8)+1))</f>
        <v/>
      </c>
    </row>
    <row r="9">
      <c r="A9" s="38" t="n">
        <v>4</v>
      </c>
      <c r="B9" s="39" t="n"/>
      <c r="C9" s="39" t="n"/>
      <c r="D9" s="40" t="n"/>
      <c r="E9" s="41" t="n"/>
      <c r="F9" s="42" t="n"/>
      <c r="G9" s="42" t="n"/>
      <c r="H9" s="42" t="n"/>
      <c r="I9" s="34">
        <f>IF(OR(J9="G",J9="D"),0,IF(AND(F9="",G9=""),0,MAX(0,IFERROR(F9+0,0)+IFERROR(G9+0,0)-IFERROR(H9+0,0))))</f>
        <v/>
      </c>
      <c r="J9" s="43" t="n"/>
      <c r="K9" s="42" t="n"/>
      <c r="L9" s="42" t="n"/>
      <c r="M9" s="42" t="n"/>
      <c r="N9" s="34">
        <f>IF(OR(O9="G",O9="D"),0,IF(AND(K9="",L9=""),0,MAX(0,IFERROR(K9+0,0)+IFERROR(L9+0,0)-IFERROR(M9+0,0))))</f>
        <v/>
      </c>
      <c r="O9" s="43" t="n"/>
      <c r="P9" s="42" t="n"/>
      <c r="Q9" s="42" t="n"/>
      <c r="R9" s="42" t="n"/>
      <c r="S9" s="34">
        <f>IF(OR(T9="G",T9="D"),0,IF(AND(P9="",Q9=""),0,MAX(0,IFERROR(P9+0,0)+IFERROR(Q9+0,0)-IFERROR(R9+0,0))))</f>
        <v/>
      </c>
      <c r="T9" s="43" t="n"/>
      <c r="U9" s="42" t="n"/>
      <c r="V9" s="42" t="n"/>
      <c r="W9" s="42" t="n"/>
      <c r="X9" s="34">
        <f>IF(OR(Y9="G",Y9="D"),0,IF(AND(U9="",V9=""),0,MAX(0,IFERROR(U9+0,0)+IFERROR(V9+0,0)-IFERROR(W9+0,0))))</f>
        <v/>
      </c>
      <c r="Y9" s="43" t="n"/>
      <c r="Z9" s="36">
        <f>IF(B9="","",IF(OR(J9="G",J9="D"),0,I9)+IF(OR(O9="G",O9="D"),0,N9)+IF(OR(T9="G",T9="D"),0,S9)+IF(OR(Y9="G",Y9="D"),0,X9))</f>
        <v/>
      </c>
      <c r="AA9" s="37">
        <f>IF(OR(B9="",Z9=0),"-",RANK.EQ(Z9,$Z$6:$Z$45,0))</f>
        <v/>
      </c>
      <c r="AB9" s="43">
        <f>IF(OR(B9="",I9=0),"-",IF(OR(J9="G",J9="D"),IF(J9="G","G","D"),COUNTIF($I$6:$I$45,"&gt;"&amp;I9)+1))</f>
        <v/>
      </c>
      <c r="AC9" s="43">
        <f>IF(OR(B9="",N9=0),"-",IF(OR(O9="G",O9="D"),IF(O9="G","G","D"),COUNTIF($N$6:$N$45,"&gt;"&amp;N9)+1))</f>
        <v/>
      </c>
      <c r="AD9" s="43">
        <f>IF(OR(B9="",S9=0),"-",IF(OR(T9="G",T9="D"),IF(T9="G","G","D"),COUNTIF($S$6:$S$45,"&gt;"&amp;S9)+1))</f>
        <v/>
      </c>
      <c r="AE9" s="43">
        <f>IF(OR(B9="",X9=0),"-",IF(OR(Y9="G",Y9="D"),IF(Y9="G","G","D"),COUNTIF($X$6:$X$45,"&gt;"&amp;X9)+1))</f>
        <v/>
      </c>
    </row>
    <row r="10">
      <c r="A10" s="29" t="n">
        <v>5</v>
      </c>
      <c r="B10" s="30" t="n"/>
      <c r="C10" s="30" t="n"/>
      <c r="D10" s="31" t="n"/>
      <c r="E10" s="32" t="n"/>
      <c r="F10" s="33" t="n"/>
      <c r="G10" s="33" t="n"/>
      <c r="H10" s="33" t="n"/>
      <c r="I10" s="34">
        <f>IF(OR(J10="G",J10="D"),0,IF(AND(F10="",G10=""),0,MAX(0,IFERROR(F10+0,0)+IFERROR(G10+0,0)-IFERROR(H10+0,0))))</f>
        <v/>
      </c>
      <c r="J10" s="35" t="n"/>
      <c r="K10" s="33" t="n"/>
      <c r="L10" s="33" t="n"/>
      <c r="M10" s="33" t="n"/>
      <c r="N10" s="34">
        <f>IF(OR(O10="G",O10="D"),0,IF(AND(K10="",L10=""),0,MAX(0,IFERROR(K10+0,0)+IFERROR(L10+0,0)-IFERROR(M10+0,0))))</f>
        <v/>
      </c>
      <c r="O10" s="35" t="n"/>
      <c r="P10" s="33" t="n"/>
      <c r="Q10" s="33" t="n"/>
      <c r="R10" s="33" t="n"/>
      <c r="S10" s="34">
        <f>IF(OR(T10="G",T10="D"),0,IF(AND(P10="",Q10=""),0,MAX(0,IFERROR(P10+0,0)+IFERROR(Q10+0,0)-IFERROR(R10+0,0))))</f>
        <v/>
      </c>
      <c r="T10" s="35" t="n"/>
      <c r="U10" s="33" t="n"/>
      <c r="V10" s="33" t="n"/>
      <c r="W10" s="33" t="n"/>
      <c r="X10" s="34">
        <f>IF(OR(Y10="G",Y10="D"),0,IF(AND(U10="",V10=""),0,MAX(0,IFERROR(U10+0,0)+IFERROR(V10+0,0)-IFERROR(W10+0,0))))</f>
        <v/>
      </c>
      <c r="Y10" s="35" t="n"/>
      <c r="Z10" s="36">
        <f>IF(B10="","",IF(OR(J10="G",J10="D"),0,I10)+IF(OR(O10="G",O10="D"),0,N10)+IF(OR(T10="G",T10="D"),0,S10)+IF(OR(Y10="G",Y10="D"),0,X10))</f>
        <v/>
      </c>
      <c r="AA10" s="37">
        <f>IF(OR(B10="",Z10=0),"-",RANK.EQ(Z10,$Z$6:$Z$45,0))</f>
        <v/>
      </c>
      <c r="AB10" s="35">
        <f>IF(OR(B10="",I10=0),"-",IF(OR(J10="G",J10="D"),IF(J10="G","G","D"),COUNTIF($I$6:$I$45,"&gt;"&amp;I10)+1))</f>
        <v/>
      </c>
      <c r="AC10" s="35">
        <f>IF(OR(B10="",N10=0),"-",IF(OR(O10="G",O10="D"),IF(O10="G","G","D"),COUNTIF($N$6:$N$45,"&gt;"&amp;N10)+1))</f>
        <v/>
      </c>
      <c r="AD10" s="35">
        <f>IF(OR(B10="",S10=0),"-",IF(OR(T10="G",T10="D"),IF(T10="G","G","D"),COUNTIF($S$6:$S$45,"&gt;"&amp;S10)+1))</f>
        <v/>
      </c>
      <c r="AE10" s="35">
        <f>IF(OR(B10="",X10=0),"-",IF(OR(Y10="G",Y10="D"),IF(Y10="G","G","D"),COUNTIF($X$6:$X$45,"&gt;"&amp;X10)+1))</f>
        <v/>
      </c>
    </row>
    <row r="11">
      <c r="A11" s="38" t="n">
        <v>6</v>
      </c>
      <c r="B11" s="39" t="n"/>
      <c r="C11" s="39" t="n"/>
      <c r="D11" s="40" t="n"/>
      <c r="E11" s="41" t="n"/>
      <c r="F11" s="42" t="n"/>
      <c r="G11" s="42" t="n"/>
      <c r="H11" s="42" t="n"/>
      <c r="I11" s="34">
        <f>IF(OR(J11="G",J11="D"),0,IF(AND(F11="",G11=""),0,MAX(0,IFERROR(F11+0,0)+IFERROR(G11+0,0)-IFERROR(H11+0,0))))</f>
        <v/>
      </c>
      <c r="J11" s="43" t="n"/>
      <c r="K11" s="42" t="n"/>
      <c r="L11" s="42" t="n"/>
      <c r="M11" s="42" t="n"/>
      <c r="N11" s="34">
        <f>IF(OR(O11="G",O11="D"),0,IF(AND(K11="",L11=""),0,MAX(0,IFERROR(K11+0,0)+IFERROR(L11+0,0)-IFERROR(M11+0,0))))</f>
        <v/>
      </c>
      <c r="O11" s="43" t="n"/>
      <c r="P11" s="42" t="n"/>
      <c r="Q11" s="42" t="n"/>
      <c r="R11" s="42" t="n"/>
      <c r="S11" s="34">
        <f>IF(OR(T11="G",T11="D"),0,IF(AND(P11="",Q11=""),0,MAX(0,IFERROR(P11+0,0)+IFERROR(Q11+0,0)-IFERROR(R11+0,0))))</f>
        <v/>
      </c>
      <c r="T11" s="43" t="n"/>
      <c r="U11" s="42" t="n"/>
      <c r="V11" s="42" t="n"/>
      <c r="W11" s="42" t="n"/>
      <c r="X11" s="34">
        <f>IF(OR(Y11="G",Y11="D"),0,IF(AND(U11="",V11=""),0,MAX(0,IFERROR(U11+0,0)+IFERROR(V11+0,0)-IFERROR(W11+0,0))))</f>
        <v/>
      </c>
      <c r="Y11" s="43" t="n"/>
      <c r="Z11" s="36">
        <f>IF(B11="","",IF(OR(J11="G",J11="D"),0,I11)+IF(OR(O11="G",O11="D"),0,N11)+IF(OR(T11="G",T11="D"),0,S11)+IF(OR(Y11="G",Y11="D"),0,X11))</f>
        <v/>
      </c>
      <c r="AA11" s="37">
        <f>IF(OR(B11="",Z11=0),"-",RANK.EQ(Z11,$Z$6:$Z$45,0))</f>
        <v/>
      </c>
      <c r="AB11" s="43">
        <f>IF(OR(B11="",I11=0),"-",IF(OR(J11="G",J11="D"),IF(J11="G","G","D"),COUNTIF($I$6:$I$45,"&gt;"&amp;I11)+1))</f>
        <v/>
      </c>
      <c r="AC11" s="43">
        <f>IF(OR(B11="",N11=0),"-",IF(OR(O11="G",O11="D"),IF(O11="G","G","D"),COUNTIF($N$6:$N$45,"&gt;"&amp;N11)+1))</f>
        <v/>
      </c>
      <c r="AD11" s="43">
        <f>IF(OR(B11="",S11=0),"-",IF(OR(T11="G",T11="D"),IF(T11="G","G","D"),COUNTIF($S$6:$S$45,"&gt;"&amp;S11)+1))</f>
        <v/>
      </c>
      <c r="AE11" s="43">
        <f>IF(OR(B11="",X11=0),"-",IF(OR(Y11="G",Y11="D"),IF(Y11="G","G","D"),COUNTIF($X$6:$X$45,"&gt;"&amp;X11)+1))</f>
        <v/>
      </c>
    </row>
    <row r="12">
      <c r="A12" s="29" t="n">
        <v>7</v>
      </c>
      <c r="B12" s="30" t="n"/>
      <c r="C12" s="30" t="n"/>
      <c r="D12" s="31" t="n"/>
      <c r="E12" s="32" t="n"/>
      <c r="F12" s="33" t="n"/>
      <c r="G12" s="33" t="n"/>
      <c r="H12" s="33" t="n"/>
      <c r="I12" s="34">
        <f>IF(OR(J12="G",J12="D"),0,IF(AND(F12="",G12=""),0,MAX(0,IFERROR(F12+0,0)+IFERROR(G12+0,0)-IFERROR(H12+0,0))))</f>
        <v/>
      </c>
      <c r="J12" s="35" t="n"/>
      <c r="K12" s="33" t="n"/>
      <c r="L12" s="33" t="n"/>
      <c r="M12" s="33" t="n"/>
      <c r="N12" s="34">
        <f>IF(OR(O12="G",O12="D"),0,IF(AND(K12="",L12=""),0,MAX(0,IFERROR(K12+0,0)+IFERROR(L12+0,0)-IFERROR(M12+0,0))))</f>
        <v/>
      </c>
      <c r="O12" s="35" t="n"/>
      <c r="P12" s="33" t="n"/>
      <c r="Q12" s="33" t="n"/>
      <c r="R12" s="33" t="n"/>
      <c r="S12" s="34">
        <f>IF(OR(T12="G",T12="D"),0,IF(AND(P12="",Q12=""),0,MAX(0,IFERROR(P12+0,0)+IFERROR(Q12+0,0)-IFERROR(R12+0,0))))</f>
        <v/>
      </c>
      <c r="T12" s="35" t="n"/>
      <c r="U12" s="33" t="n"/>
      <c r="V12" s="33" t="n"/>
      <c r="W12" s="33" t="n"/>
      <c r="X12" s="34">
        <f>IF(OR(Y12="G",Y12="D"),0,IF(AND(U12="",V12=""),0,MAX(0,IFERROR(U12+0,0)+IFERROR(V12+0,0)-IFERROR(W12+0,0))))</f>
        <v/>
      </c>
      <c r="Y12" s="35" t="n"/>
      <c r="Z12" s="36">
        <f>IF(B12="","",IF(OR(J12="G",J12="D"),0,I12)+IF(OR(O12="G",O12="D"),0,N12)+IF(OR(T12="G",T12="D"),0,S12)+IF(OR(Y12="G",Y12="D"),0,X12))</f>
        <v/>
      </c>
      <c r="AA12" s="37">
        <f>IF(OR(B12="",Z12=0),"-",RANK.EQ(Z12,$Z$6:$Z$45,0))</f>
        <v/>
      </c>
      <c r="AB12" s="35">
        <f>IF(OR(B12="",I12=0),"-",IF(OR(J12="G",J12="D"),IF(J12="G","G","D"),COUNTIF($I$6:$I$45,"&gt;"&amp;I12)+1))</f>
        <v/>
      </c>
      <c r="AC12" s="35">
        <f>IF(OR(B12="",N12=0),"-",IF(OR(O12="G",O12="D"),IF(O12="G","G","D"),COUNTIF($N$6:$N$45,"&gt;"&amp;N12)+1))</f>
        <v/>
      </c>
      <c r="AD12" s="35">
        <f>IF(OR(B12="",S12=0),"-",IF(OR(T12="G",T12="D"),IF(T12="G","G","D"),COUNTIF($S$6:$S$45,"&gt;"&amp;S12)+1))</f>
        <v/>
      </c>
      <c r="AE12" s="35">
        <f>IF(OR(B12="",X12=0),"-",IF(OR(Y12="G",Y12="D"),IF(Y12="G","G","D"),COUNTIF($X$6:$X$45,"&gt;"&amp;X12)+1))</f>
        <v/>
      </c>
    </row>
    <row r="13">
      <c r="A13" s="38" t="n">
        <v>8</v>
      </c>
      <c r="B13" s="39" t="n"/>
      <c r="C13" s="39" t="n"/>
      <c r="D13" s="40" t="n"/>
      <c r="E13" s="41" t="n"/>
      <c r="F13" s="42" t="n"/>
      <c r="G13" s="42" t="n"/>
      <c r="H13" s="42" t="n"/>
      <c r="I13" s="34">
        <f>IF(OR(J13="G",J13="D"),0,IF(AND(F13="",G13=""),0,MAX(0,IFERROR(F13+0,0)+IFERROR(G13+0,0)-IFERROR(H13+0,0))))</f>
        <v/>
      </c>
      <c r="J13" s="43" t="n"/>
      <c r="K13" s="42" t="n"/>
      <c r="L13" s="42" t="n"/>
      <c r="M13" s="42" t="n"/>
      <c r="N13" s="34">
        <f>IF(OR(O13="G",O13="D"),0,IF(AND(K13="",L13=""),0,MAX(0,IFERROR(K13+0,0)+IFERROR(L13+0,0)-IFERROR(M13+0,0))))</f>
        <v/>
      </c>
      <c r="O13" s="43" t="n"/>
      <c r="P13" s="42" t="n"/>
      <c r="Q13" s="42" t="n"/>
      <c r="R13" s="42" t="n"/>
      <c r="S13" s="34">
        <f>IF(OR(T13="G",T13="D"),0,IF(AND(P13="",Q13=""),0,MAX(0,IFERROR(P13+0,0)+IFERROR(Q13+0,0)-IFERROR(R13+0,0))))</f>
        <v/>
      </c>
      <c r="T13" s="43" t="n"/>
      <c r="U13" s="42" t="n"/>
      <c r="V13" s="42" t="n"/>
      <c r="W13" s="42" t="n"/>
      <c r="X13" s="34">
        <f>IF(OR(Y13="G",Y13="D"),0,IF(AND(U13="",V13=""),0,MAX(0,IFERROR(U13+0,0)+IFERROR(V13+0,0)-IFERROR(W13+0,0))))</f>
        <v/>
      </c>
      <c r="Y13" s="43" t="n"/>
      <c r="Z13" s="36">
        <f>IF(B13="","",IF(OR(J13="G",J13="D"),0,I13)+IF(OR(O13="G",O13="D"),0,N13)+IF(OR(T13="G",T13="D"),0,S13)+IF(OR(Y13="G",Y13="D"),0,X13))</f>
        <v/>
      </c>
      <c r="AA13" s="37">
        <f>IF(OR(B13="",Z13=0),"-",RANK.EQ(Z13,$Z$6:$Z$45,0))</f>
        <v/>
      </c>
      <c r="AB13" s="43">
        <f>IF(OR(B13="",I13=0),"-",IF(OR(J13="G",J13="D"),IF(J13="G","G","D"),COUNTIF($I$6:$I$45,"&gt;"&amp;I13)+1))</f>
        <v/>
      </c>
      <c r="AC13" s="43">
        <f>IF(OR(B13="",N13=0),"-",IF(OR(O13="G",O13="D"),IF(O13="G","G","D"),COUNTIF($N$6:$N$45,"&gt;"&amp;N13)+1))</f>
        <v/>
      </c>
      <c r="AD13" s="43">
        <f>IF(OR(B13="",S13=0),"-",IF(OR(T13="G",T13="D"),IF(T13="G","G","D"),COUNTIF($S$6:$S$45,"&gt;"&amp;S13)+1))</f>
        <v/>
      </c>
      <c r="AE13" s="43">
        <f>IF(OR(B13="",X13=0),"-",IF(OR(Y13="G",Y13="D"),IF(Y13="G","G","D"),COUNTIF($X$6:$X$45,"&gt;"&amp;X13)+1))</f>
        <v/>
      </c>
    </row>
    <row r="14">
      <c r="A14" s="29" t="n">
        <v>9</v>
      </c>
      <c r="B14" s="30" t="n"/>
      <c r="C14" s="30" t="n"/>
      <c r="D14" s="31" t="n"/>
      <c r="E14" s="32" t="n"/>
      <c r="F14" s="33" t="n"/>
      <c r="G14" s="33" t="n"/>
      <c r="H14" s="33" t="n"/>
      <c r="I14" s="34">
        <f>IF(OR(J14="G",J14="D"),0,IF(AND(F14="",G14=""),0,MAX(0,IFERROR(F14+0,0)+IFERROR(G14+0,0)-IFERROR(H14+0,0))))</f>
        <v/>
      </c>
      <c r="J14" s="35" t="n"/>
      <c r="K14" s="33" t="n"/>
      <c r="L14" s="33" t="n"/>
      <c r="M14" s="33" t="n"/>
      <c r="N14" s="34">
        <f>IF(OR(O14="G",O14="D"),0,IF(AND(K14="",L14=""),0,MAX(0,IFERROR(K14+0,0)+IFERROR(L14+0,0)-IFERROR(M14+0,0))))</f>
        <v/>
      </c>
      <c r="O14" s="35" t="n"/>
      <c r="P14" s="33" t="n"/>
      <c r="Q14" s="33" t="n"/>
      <c r="R14" s="33" t="n"/>
      <c r="S14" s="34">
        <f>IF(OR(T14="G",T14="D"),0,IF(AND(P14="",Q14=""),0,MAX(0,IFERROR(P14+0,0)+IFERROR(Q14+0,0)-IFERROR(R14+0,0))))</f>
        <v/>
      </c>
      <c r="T14" s="35" t="n"/>
      <c r="U14" s="33" t="n"/>
      <c r="V14" s="33" t="n"/>
      <c r="W14" s="33" t="n"/>
      <c r="X14" s="34">
        <f>IF(OR(Y14="G",Y14="D"),0,IF(AND(U14="",V14=""),0,MAX(0,IFERROR(U14+0,0)+IFERROR(V14+0,0)-IFERROR(W14+0,0))))</f>
        <v/>
      </c>
      <c r="Y14" s="35" t="n"/>
      <c r="Z14" s="36">
        <f>IF(B14="","",IF(OR(J14="G",J14="D"),0,I14)+IF(OR(O14="G",O14="D"),0,N14)+IF(OR(T14="G",T14="D"),0,S14)+IF(OR(Y14="G",Y14="D"),0,X14))</f>
        <v/>
      </c>
      <c r="AA14" s="37">
        <f>IF(OR(B14="",Z14=0),"-",RANK.EQ(Z14,$Z$6:$Z$45,0))</f>
        <v/>
      </c>
      <c r="AB14" s="35">
        <f>IF(OR(B14="",I14=0),"-",IF(OR(J14="G",J14="D"),IF(J14="G","G","D"),COUNTIF($I$6:$I$45,"&gt;"&amp;I14)+1))</f>
        <v/>
      </c>
      <c r="AC14" s="35">
        <f>IF(OR(B14="",N14=0),"-",IF(OR(O14="G",O14="D"),IF(O14="G","G","D"),COUNTIF($N$6:$N$45,"&gt;"&amp;N14)+1))</f>
        <v/>
      </c>
      <c r="AD14" s="35">
        <f>IF(OR(B14="",S14=0),"-",IF(OR(T14="G",T14="D"),IF(T14="G","G","D"),COUNTIF($S$6:$S$45,"&gt;"&amp;S14)+1))</f>
        <v/>
      </c>
      <c r="AE14" s="35">
        <f>IF(OR(B14="",X14=0),"-",IF(OR(Y14="G",Y14="D"),IF(Y14="G","G","D"),COUNTIF($X$6:$X$45,"&gt;"&amp;X14)+1))</f>
        <v/>
      </c>
    </row>
    <row r="15">
      <c r="A15" s="38" t="n">
        <v>10</v>
      </c>
      <c r="B15" s="39" t="n"/>
      <c r="C15" s="39" t="n"/>
      <c r="D15" s="40" t="n"/>
      <c r="E15" s="41" t="n"/>
      <c r="F15" s="42" t="n"/>
      <c r="G15" s="42" t="n"/>
      <c r="H15" s="42" t="n"/>
      <c r="I15" s="34">
        <f>IF(OR(J15="G",J15="D"),0,IF(AND(F15="",G15=""),0,MAX(0,IFERROR(F15+0,0)+IFERROR(G15+0,0)-IFERROR(H15+0,0))))</f>
        <v/>
      </c>
      <c r="J15" s="43" t="n"/>
      <c r="K15" s="42" t="n"/>
      <c r="L15" s="42" t="n"/>
      <c r="M15" s="42" t="n"/>
      <c r="N15" s="34">
        <f>IF(OR(O15="G",O15="D"),0,IF(AND(K15="",L15=""),0,MAX(0,IFERROR(K15+0,0)+IFERROR(L15+0,0)-IFERROR(M15+0,0))))</f>
        <v/>
      </c>
      <c r="O15" s="43" t="n"/>
      <c r="P15" s="42" t="n"/>
      <c r="Q15" s="42" t="n"/>
      <c r="R15" s="42" t="n"/>
      <c r="S15" s="34">
        <f>IF(OR(T15="G",T15="D"),0,IF(AND(P15="",Q15=""),0,MAX(0,IFERROR(P15+0,0)+IFERROR(Q15+0,0)-IFERROR(R15+0,0))))</f>
        <v/>
      </c>
      <c r="T15" s="43" t="n"/>
      <c r="U15" s="42" t="n"/>
      <c r="V15" s="42" t="n"/>
      <c r="W15" s="42" t="n"/>
      <c r="X15" s="34">
        <f>IF(OR(Y15="G",Y15="D"),0,IF(AND(U15="",V15=""),0,MAX(0,IFERROR(U15+0,0)+IFERROR(V15+0,0)-IFERROR(W15+0,0))))</f>
        <v/>
      </c>
      <c r="Y15" s="43" t="n"/>
      <c r="Z15" s="36">
        <f>IF(B15="","",IF(OR(J15="G",J15="D"),0,I15)+IF(OR(O15="G",O15="D"),0,N15)+IF(OR(T15="G",T15="D"),0,S15)+IF(OR(Y15="G",Y15="D"),0,X15))</f>
        <v/>
      </c>
      <c r="AA15" s="37">
        <f>IF(OR(B15="",Z15=0),"-",RANK.EQ(Z15,$Z$6:$Z$45,0))</f>
        <v/>
      </c>
      <c r="AB15" s="43">
        <f>IF(OR(B15="",I15=0),"-",IF(OR(J15="G",J15="D"),IF(J15="G","G","D"),COUNTIF($I$6:$I$45,"&gt;"&amp;I15)+1))</f>
        <v/>
      </c>
      <c r="AC15" s="43">
        <f>IF(OR(B15="",N15=0),"-",IF(OR(O15="G",O15="D"),IF(O15="G","G","D"),COUNTIF($N$6:$N$45,"&gt;"&amp;N15)+1))</f>
        <v/>
      </c>
      <c r="AD15" s="43">
        <f>IF(OR(B15="",S15=0),"-",IF(OR(T15="G",T15="D"),IF(T15="G","G","D"),COUNTIF($S$6:$S$45,"&gt;"&amp;S15)+1))</f>
        <v/>
      </c>
      <c r="AE15" s="43">
        <f>IF(OR(B15="",X15=0),"-",IF(OR(Y15="G",Y15="D"),IF(Y15="G","G","D"),COUNTIF($X$6:$X$45,"&gt;"&amp;X15)+1))</f>
        <v/>
      </c>
    </row>
    <row r="16">
      <c r="A16" s="29" t="n">
        <v>11</v>
      </c>
      <c r="B16" s="30" t="n"/>
      <c r="C16" s="30" t="n"/>
      <c r="D16" s="31" t="n"/>
      <c r="E16" s="32" t="n"/>
      <c r="F16" s="33" t="n"/>
      <c r="G16" s="33" t="n"/>
      <c r="H16" s="33" t="n"/>
      <c r="I16" s="34">
        <f>IF(OR(J16="G",J16="D"),0,IF(AND(F16="",G16=""),0,MAX(0,IFERROR(F16+0,0)+IFERROR(G16+0,0)-IFERROR(H16+0,0))))</f>
        <v/>
      </c>
      <c r="J16" s="35" t="n"/>
      <c r="K16" s="33" t="n"/>
      <c r="L16" s="33" t="n"/>
      <c r="M16" s="33" t="n"/>
      <c r="N16" s="34">
        <f>IF(OR(O16="G",O16="D"),0,IF(AND(K16="",L16=""),0,MAX(0,IFERROR(K16+0,0)+IFERROR(L16+0,0)-IFERROR(M16+0,0))))</f>
        <v/>
      </c>
      <c r="O16" s="35" t="n"/>
      <c r="P16" s="33" t="n"/>
      <c r="Q16" s="33" t="n"/>
      <c r="R16" s="33" t="n"/>
      <c r="S16" s="34">
        <f>IF(OR(T16="G",T16="D"),0,IF(AND(P16="",Q16=""),0,MAX(0,IFERROR(P16+0,0)+IFERROR(Q16+0,0)-IFERROR(R16+0,0))))</f>
        <v/>
      </c>
      <c r="T16" s="35" t="n"/>
      <c r="U16" s="33" t="n"/>
      <c r="V16" s="33" t="n"/>
      <c r="W16" s="33" t="n"/>
      <c r="X16" s="34">
        <f>IF(OR(Y16="G",Y16="D"),0,IF(AND(U16="",V16=""),0,MAX(0,IFERROR(U16+0,0)+IFERROR(V16+0,0)-IFERROR(W16+0,0))))</f>
        <v/>
      </c>
      <c r="Y16" s="35" t="n"/>
      <c r="Z16" s="36">
        <f>IF(B16="","",IF(OR(J16="G",J16="D"),0,I16)+IF(OR(O16="G",O16="D"),0,N16)+IF(OR(T16="G",T16="D"),0,S16)+IF(OR(Y16="G",Y16="D"),0,X16))</f>
        <v/>
      </c>
      <c r="AA16" s="37">
        <f>IF(OR(B16="",Z16=0),"-",RANK.EQ(Z16,$Z$6:$Z$45,0))</f>
        <v/>
      </c>
      <c r="AB16" s="35">
        <f>IF(OR(B16="",I16=0),"-",IF(OR(J16="G",J16="D"),IF(J16="G","G","D"),COUNTIF($I$6:$I$45,"&gt;"&amp;I16)+1))</f>
        <v/>
      </c>
      <c r="AC16" s="35">
        <f>IF(OR(B16="",N16=0),"-",IF(OR(O16="G",O16="D"),IF(O16="G","G","D"),COUNTIF($N$6:$N$45,"&gt;"&amp;N16)+1))</f>
        <v/>
      </c>
      <c r="AD16" s="35">
        <f>IF(OR(B16="",S16=0),"-",IF(OR(T16="G",T16="D"),IF(T16="G","G","D"),COUNTIF($S$6:$S$45,"&gt;"&amp;S16)+1))</f>
        <v/>
      </c>
      <c r="AE16" s="35">
        <f>IF(OR(B16="",X16=0),"-",IF(OR(Y16="G",Y16="D"),IF(Y16="G","G","D"),COUNTIF($X$6:$X$45,"&gt;"&amp;X16)+1))</f>
        <v/>
      </c>
    </row>
    <row r="17">
      <c r="A17" s="38" t="n">
        <v>12</v>
      </c>
      <c r="B17" s="39" t="n"/>
      <c r="C17" s="39" t="n"/>
      <c r="D17" s="40" t="n"/>
      <c r="E17" s="41" t="n"/>
      <c r="F17" s="42" t="n"/>
      <c r="G17" s="42" t="n"/>
      <c r="H17" s="42" t="n"/>
      <c r="I17" s="34">
        <f>IF(OR(J17="G",J17="D"),0,IF(AND(F17="",G17=""),0,MAX(0,IFERROR(F17+0,0)+IFERROR(G17+0,0)-IFERROR(H17+0,0))))</f>
        <v/>
      </c>
      <c r="J17" s="43" t="n"/>
      <c r="K17" s="42" t="n"/>
      <c r="L17" s="42" t="n"/>
      <c r="M17" s="42" t="n"/>
      <c r="N17" s="34">
        <f>IF(OR(O17="G",O17="D"),0,IF(AND(K17="",L17=""),0,MAX(0,IFERROR(K17+0,0)+IFERROR(L17+0,0)-IFERROR(M17+0,0))))</f>
        <v/>
      </c>
      <c r="O17" s="43" t="n"/>
      <c r="P17" s="42" t="n"/>
      <c r="Q17" s="42" t="n"/>
      <c r="R17" s="42" t="n"/>
      <c r="S17" s="34">
        <f>IF(OR(T17="G",T17="D"),0,IF(AND(P17="",Q17=""),0,MAX(0,IFERROR(P17+0,0)+IFERROR(Q17+0,0)-IFERROR(R17+0,0))))</f>
        <v/>
      </c>
      <c r="T17" s="43" t="n"/>
      <c r="U17" s="42" t="n"/>
      <c r="V17" s="42" t="n"/>
      <c r="W17" s="42" t="n"/>
      <c r="X17" s="34">
        <f>IF(OR(Y17="G",Y17="D"),0,IF(AND(U17="",V17=""),0,MAX(0,IFERROR(U17+0,0)+IFERROR(V17+0,0)-IFERROR(W17+0,0))))</f>
        <v/>
      </c>
      <c r="Y17" s="43" t="n"/>
      <c r="Z17" s="36">
        <f>IF(B17="","",IF(OR(J17="G",J17="D"),0,I17)+IF(OR(O17="G",O17="D"),0,N17)+IF(OR(T17="G",T17="D"),0,S17)+IF(OR(Y17="G",Y17="D"),0,X17))</f>
        <v/>
      </c>
      <c r="AA17" s="37">
        <f>IF(OR(B17="",Z17=0),"-",RANK.EQ(Z17,$Z$6:$Z$45,0))</f>
        <v/>
      </c>
      <c r="AB17" s="43">
        <f>IF(OR(B17="",I17=0),"-",IF(OR(J17="G",J17="D"),IF(J17="G","G","D"),COUNTIF($I$6:$I$45,"&gt;"&amp;I17)+1))</f>
        <v/>
      </c>
      <c r="AC17" s="43">
        <f>IF(OR(B17="",N17=0),"-",IF(OR(O17="G",O17="D"),IF(O17="G","G","D"),COUNTIF($N$6:$N$45,"&gt;"&amp;N17)+1))</f>
        <v/>
      </c>
      <c r="AD17" s="43">
        <f>IF(OR(B17="",S17=0),"-",IF(OR(T17="G",T17="D"),IF(T17="G","G","D"),COUNTIF($S$6:$S$45,"&gt;"&amp;S17)+1))</f>
        <v/>
      </c>
      <c r="AE17" s="43">
        <f>IF(OR(B17="",X17=0),"-",IF(OR(Y17="G",Y17="D"),IF(Y17="G","G","D"),COUNTIF($X$6:$X$45,"&gt;"&amp;X17)+1))</f>
        <v/>
      </c>
    </row>
    <row r="18">
      <c r="A18" s="29" t="n">
        <v>13</v>
      </c>
      <c r="B18" s="30" t="n"/>
      <c r="C18" s="30" t="n"/>
      <c r="D18" s="31" t="n"/>
      <c r="E18" s="32" t="n"/>
      <c r="F18" s="33" t="n"/>
      <c r="G18" s="33" t="n"/>
      <c r="H18" s="33" t="n"/>
      <c r="I18" s="34">
        <f>IF(OR(J18="G",J18="D"),0,IF(AND(F18="",G18=""),0,MAX(0,IFERROR(F18+0,0)+IFERROR(G18+0,0)-IFERROR(H18+0,0))))</f>
        <v/>
      </c>
      <c r="J18" s="35" t="n"/>
      <c r="K18" s="33" t="n"/>
      <c r="L18" s="33" t="n"/>
      <c r="M18" s="33" t="n"/>
      <c r="N18" s="34">
        <f>IF(OR(O18="G",O18="D"),0,IF(AND(K18="",L18=""),0,MAX(0,IFERROR(K18+0,0)+IFERROR(L18+0,0)-IFERROR(M18+0,0))))</f>
        <v/>
      </c>
      <c r="O18" s="35" t="n"/>
      <c r="P18" s="33" t="n"/>
      <c r="Q18" s="33" t="n"/>
      <c r="R18" s="33" t="n"/>
      <c r="S18" s="34">
        <f>IF(OR(T18="G",T18="D"),0,IF(AND(P18="",Q18=""),0,MAX(0,IFERROR(P18+0,0)+IFERROR(Q18+0,0)-IFERROR(R18+0,0))))</f>
        <v/>
      </c>
      <c r="T18" s="35" t="n"/>
      <c r="U18" s="33" t="n"/>
      <c r="V18" s="33" t="n"/>
      <c r="W18" s="33" t="n"/>
      <c r="X18" s="34">
        <f>IF(OR(Y18="G",Y18="D"),0,IF(AND(U18="",V18=""),0,MAX(0,IFERROR(U18+0,0)+IFERROR(V18+0,0)-IFERROR(W18+0,0))))</f>
        <v/>
      </c>
      <c r="Y18" s="35" t="n"/>
      <c r="Z18" s="36">
        <f>IF(B18="","",IF(OR(J18="G",J18="D"),0,I18)+IF(OR(O18="G",O18="D"),0,N18)+IF(OR(T18="G",T18="D"),0,S18)+IF(OR(Y18="G",Y18="D"),0,X18))</f>
        <v/>
      </c>
      <c r="AA18" s="37">
        <f>IF(OR(B18="",Z18=0),"-",RANK.EQ(Z18,$Z$6:$Z$45,0))</f>
        <v/>
      </c>
      <c r="AB18" s="35">
        <f>IF(OR(B18="",I18=0),"-",IF(OR(J18="G",J18="D"),IF(J18="G","G","D"),COUNTIF($I$6:$I$45,"&gt;"&amp;I18)+1))</f>
        <v/>
      </c>
      <c r="AC18" s="35">
        <f>IF(OR(B18="",N18=0),"-",IF(OR(O18="G",O18="D"),IF(O18="G","G","D"),COUNTIF($N$6:$N$45,"&gt;"&amp;N18)+1))</f>
        <v/>
      </c>
      <c r="AD18" s="35">
        <f>IF(OR(B18="",S18=0),"-",IF(OR(T18="G",T18="D"),IF(T18="G","G","D"),COUNTIF($S$6:$S$45,"&gt;"&amp;S18)+1))</f>
        <v/>
      </c>
      <c r="AE18" s="35">
        <f>IF(OR(B18="",X18=0),"-",IF(OR(Y18="G",Y18="D"),IF(Y18="G","G","D"),COUNTIF($X$6:$X$45,"&gt;"&amp;X18)+1))</f>
        <v/>
      </c>
    </row>
    <row r="19">
      <c r="A19" s="38" t="n">
        <v>14</v>
      </c>
      <c r="B19" s="39" t="n"/>
      <c r="C19" s="39" t="n"/>
      <c r="D19" s="40" t="n"/>
      <c r="E19" s="41" t="n"/>
      <c r="F19" s="42" t="n"/>
      <c r="G19" s="42" t="n"/>
      <c r="H19" s="42" t="n"/>
      <c r="I19" s="34">
        <f>IF(OR(J19="G",J19="D"),0,IF(AND(F19="",G19=""),0,MAX(0,IFERROR(F19+0,0)+IFERROR(G19+0,0)-IFERROR(H19+0,0))))</f>
        <v/>
      </c>
      <c r="J19" s="43" t="n"/>
      <c r="K19" s="42" t="n"/>
      <c r="L19" s="42" t="n"/>
      <c r="M19" s="42" t="n"/>
      <c r="N19" s="34">
        <f>IF(OR(O19="G",O19="D"),0,IF(AND(K19="",L19=""),0,MAX(0,IFERROR(K19+0,0)+IFERROR(L19+0,0)-IFERROR(M19+0,0))))</f>
        <v/>
      </c>
      <c r="O19" s="43" t="n"/>
      <c r="P19" s="42" t="n"/>
      <c r="Q19" s="42" t="n"/>
      <c r="R19" s="42" t="n"/>
      <c r="S19" s="34">
        <f>IF(OR(T19="G",T19="D"),0,IF(AND(P19="",Q19=""),0,MAX(0,IFERROR(P19+0,0)+IFERROR(Q19+0,0)-IFERROR(R19+0,0))))</f>
        <v/>
      </c>
      <c r="T19" s="43" t="n"/>
      <c r="U19" s="42" t="n"/>
      <c r="V19" s="42" t="n"/>
      <c r="W19" s="42" t="n"/>
      <c r="X19" s="34">
        <f>IF(OR(Y19="G",Y19="D"),0,IF(AND(U19="",V19=""),0,MAX(0,IFERROR(U19+0,0)+IFERROR(V19+0,0)-IFERROR(W19+0,0))))</f>
        <v/>
      </c>
      <c r="Y19" s="43" t="n"/>
      <c r="Z19" s="36">
        <f>IF(B19="","",IF(OR(J19="G",J19="D"),0,I19)+IF(OR(O19="G",O19="D"),0,N19)+IF(OR(T19="G",T19="D"),0,S19)+IF(OR(Y19="G",Y19="D"),0,X19))</f>
        <v/>
      </c>
      <c r="AA19" s="37">
        <f>IF(OR(B19="",Z19=0),"-",RANK.EQ(Z19,$Z$6:$Z$45,0))</f>
        <v/>
      </c>
      <c r="AB19" s="43">
        <f>IF(OR(B19="",I19=0),"-",IF(OR(J19="G",J19="D"),IF(J19="G","G","D"),COUNTIF($I$6:$I$45,"&gt;"&amp;I19)+1))</f>
        <v/>
      </c>
      <c r="AC19" s="43">
        <f>IF(OR(B19="",N19=0),"-",IF(OR(O19="G",O19="D"),IF(O19="G","G","D"),COUNTIF($N$6:$N$45,"&gt;"&amp;N19)+1))</f>
        <v/>
      </c>
      <c r="AD19" s="43">
        <f>IF(OR(B19="",S19=0),"-",IF(OR(T19="G",T19="D"),IF(T19="G","G","D"),COUNTIF($S$6:$S$45,"&gt;"&amp;S19)+1))</f>
        <v/>
      </c>
      <c r="AE19" s="43">
        <f>IF(OR(B19="",X19=0),"-",IF(OR(Y19="G",Y19="D"),IF(Y19="G","G","D"),COUNTIF($X$6:$X$45,"&gt;"&amp;X19)+1))</f>
        <v/>
      </c>
    </row>
    <row r="20">
      <c r="A20" s="29" t="n">
        <v>15</v>
      </c>
      <c r="B20" s="30" t="n"/>
      <c r="C20" s="30" t="n"/>
      <c r="D20" s="31" t="n"/>
      <c r="E20" s="32" t="n"/>
      <c r="F20" s="33" t="n"/>
      <c r="G20" s="33" t="n"/>
      <c r="H20" s="33" t="n"/>
      <c r="I20" s="34">
        <f>IF(OR(J20="G",J20="D"),0,IF(AND(F20="",G20=""),0,MAX(0,IFERROR(F20+0,0)+IFERROR(G20+0,0)-IFERROR(H20+0,0))))</f>
        <v/>
      </c>
      <c r="J20" s="35" t="n"/>
      <c r="K20" s="33" t="n"/>
      <c r="L20" s="33" t="n"/>
      <c r="M20" s="33" t="n"/>
      <c r="N20" s="34">
        <f>IF(OR(O20="G",O20="D"),0,IF(AND(K20="",L20=""),0,MAX(0,IFERROR(K20+0,0)+IFERROR(L20+0,0)-IFERROR(M20+0,0))))</f>
        <v/>
      </c>
      <c r="O20" s="35" t="n"/>
      <c r="P20" s="33" t="n"/>
      <c r="Q20" s="33" t="n"/>
      <c r="R20" s="33" t="n"/>
      <c r="S20" s="34">
        <f>IF(OR(T20="G",T20="D"),0,IF(AND(P20="",Q20=""),0,MAX(0,IFERROR(P20+0,0)+IFERROR(Q20+0,0)-IFERROR(R20+0,0))))</f>
        <v/>
      </c>
      <c r="T20" s="35" t="n"/>
      <c r="U20" s="33" t="n"/>
      <c r="V20" s="33" t="n"/>
      <c r="W20" s="33" t="n"/>
      <c r="X20" s="34">
        <f>IF(OR(Y20="G",Y20="D"),0,IF(AND(U20="",V20=""),0,MAX(0,IFERROR(U20+0,0)+IFERROR(V20+0,0)-IFERROR(W20+0,0))))</f>
        <v/>
      </c>
      <c r="Y20" s="35" t="n"/>
      <c r="Z20" s="36">
        <f>IF(B20="","",IF(OR(J20="G",J20="D"),0,I20)+IF(OR(O20="G",O20="D"),0,N20)+IF(OR(T20="G",T20="D"),0,S20)+IF(OR(Y20="G",Y20="D"),0,X20))</f>
        <v/>
      </c>
      <c r="AA20" s="37">
        <f>IF(OR(B20="",Z20=0),"-",RANK.EQ(Z20,$Z$6:$Z$45,0))</f>
        <v/>
      </c>
      <c r="AB20" s="35">
        <f>IF(OR(B20="",I20=0),"-",IF(OR(J20="G",J20="D"),IF(J20="G","G","D"),COUNTIF($I$6:$I$45,"&gt;"&amp;I20)+1))</f>
        <v/>
      </c>
      <c r="AC20" s="35">
        <f>IF(OR(B20="",N20=0),"-",IF(OR(O20="G",O20="D"),IF(O20="G","G","D"),COUNTIF($N$6:$N$45,"&gt;"&amp;N20)+1))</f>
        <v/>
      </c>
      <c r="AD20" s="35">
        <f>IF(OR(B20="",S20=0),"-",IF(OR(T20="G",T20="D"),IF(T20="G","G","D"),COUNTIF($S$6:$S$45,"&gt;"&amp;S20)+1))</f>
        <v/>
      </c>
      <c r="AE20" s="35">
        <f>IF(OR(B20="",X20=0),"-",IF(OR(Y20="G",Y20="D"),IF(Y20="G","G","D"),COUNTIF($X$6:$X$45,"&gt;"&amp;X20)+1))</f>
        <v/>
      </c>
    </row>
    <row r="21">
      <c r="A21" s="38" t="n">
        <v>16</v>
      </c>
      <c r="B21" s="39" t="n"/>
      <c r="C21" s="39" t="n"/>
      <c r="D21" s="40" t="n"/>
      <c r="E21" s="41" t="n"/>
      <c r="F21" s="42" t="n"/>
      <c r="G21" s="42" t="n"/>
      <c r="H21" s="42" t="n"/>
      <c r="I21" s="34">
        <f>IF(OR(J21="G",J21="D"),0,IF(AND(F21="",G21=""),0,MAX(0,IFERROR(F21+0,0)+IFERROR(G21+0,0)-IFERROR(H21+0,0))))</f>
        <v/>
      </c>
      <c r="J21" s="43" t="n"/>
      <c r="K21" s="42" t="n"/>
      <c r="L21" s="42" t="n"/>
      <c r="M21" s="42" t="n"/>
      <c r="N21" s="34">
        <f>IF(OR(O21="G",O21="D"),0,IF(AND(K21="",L21=""),0,MAX(0,IFERROR(K21+0,0)+IFERROR(L21+0,0)-IFERROR(M21+0,0))))</f>
        <v/>
      </c>
      <c r="O21" s="43" t="n"/>
      <c r="P21" s="42" t="n"/>
      <c r="Q21" s="42" t="n"/>
      <c r="R21" s="42" t="n"/>
      <c r="S21" s="34">
        <f>IF(OR(T21="G",T21="D"),0,IF(AND(P21="",Q21=""),0,MAX(0,IFERROR(P21+0,0)+IFERROR(Q21+0,0)-IFERROR(R21+0,0))))</f>
        <v/>
      </c>
      <c r="T21" s="43" t="n"/>
      <c r="U21" s="42" t="n"/>
      <c r="V21" s="42" t="n"/>
      <c r="W21" s="42" t="n"/>
      <c r="X21" s="34">
        <f>IF(OR(Y21="G",Y21="D"),0,IF(AND(U21="",V21=""),0,MAX(0,IFERROR(U21+0,0)+IFERROR(V21+0,0)-IFERROR(W21+0,0))))</f>
        <v/>
      </c>
      <c r="Y21" s="43" t="n"/>
      <c r="Z21" s="36">
        <f>IF(B21="","",IF(OR(J21="G",J21="D"),0,I21)+IF(OR(O21="G",O21="D"),0,N21)+IF(OR(T21="G",T21="D"),0,S21)+IF(OR(Y21="G",Y21="D"),0,X21))</f>
        <v/>
      </c>
      <c r="AA21" s="37">
        <f>IF(OR(B21="",Z21=0),"-",RANK.EQ(Z21,$Z$6:$Z$45,0))</f>
        <v/>
      </c>
      <c r="AB21" s="43">
        <f>IF(OR(B21="",I21=0),"-",IF(OR(J21="G",J21="D"),IF(J21="G","G","D"),COUNTIF($I$6:$I$45,"&gt;"&amp;I21)+1))</f>
        <v/>
      </c>
      <c r="AC21" s="43">
        <f>IF(OR(B21="",N21=0),"-",IF(OR(O21="G",O21="D"),IF(O21="G","G","D"),COUNTIF($N$6:$N$45,"&gt;"&amp;N21)+1))</f>
        <v/>
      </c>
      <c r="AD21" s="43">
        <f>IF(OR(B21="",S21=0),"-",IF(OR(T21="G",T21="D"),IF(T21="G","G","D"),COUNTIF($S$6:$S$45,"&gt;"&amp;S21)+1))</f>
        <v/>
      </c>
      <c r="AE21" s="43">
        <f>IF(OR(B21="",X21=0),"-",IF(OR(Y21="G",Y21="D"),IF(Y21="G","G","D"),COUNTIF($X$6:$X$45,"&gt;"&amp;X21)+1))</f>
        <v/>
      </c>
    </row>
    <row r="22">
      <c r="A22" s="29" t="n">
        <v>17</v>
      </c>
      <c r="B22" s="30" t="n"/>
      <c r="C22" s="30" t="n"/>
      <c r="D22" s="31" t="n"/>
      <c r="E22" s="32" t="n"/>
      <c r="F22" s="33" t="n"/>
      <c r="G22" s="33" t="n"/>
      <c r="H22" s="33" t="n"/>
      <c r="I22" s="34">
        <f>IF(OR(J22="G",J22="D"),0,IF(AND(F22="",G22=""),0,MAX(0,IFERROR(F22+0,0)+IFERROR(G22+0,0)-IFERROR(H22+0,0))))</f>
        <v/>
      </c>
      <c r="J22" s="35" t="n"/>
      <c r="K22" s="33" t="n"/>
      <c r="L22" s="33" t="n"/>
      <c r="M22" s="33" t="n"/>
      <c r="N22" s="34">
        <f>IF(OR(O22="G",O22="D"),0,IF(AND(K22="",L22=""),0,MAX(0,IFERROR(K22+0,0)+IFERROR(L22+0,0)-IFERROR(M22+0,0))))</f>
        <v/>
      </c>
      <c r="O22" s="35" t="n"/>
      <c r="P22" s="33" t="n"/>
      <c r="Q22" s="33" t="n"/>
      <c r="R22" s="33" t="n"/>
      <c r="S22" s="34">
        <f>IF(OR(T22="G",T22="D"),0,IF(AND(P22="",Q22=""),0,MAX(0,IFERROR(P22+0,0)+IFERROR(Q22+0,0)-IFERROR(R22+0,0))))</f>
        <v/>
      </c>
      <c r="T22" s="35" t="n"/>
      <c r="U22" s="33" t="n"/>
      <c r="V22" s="33" t="n"/>
      <c r="W22" s="33" t="n"/>
      <c r="X22" s="34">
        <f>IF(OR(Y22="G",Y22="D"),0,IF(AND(U22="",V22=""),0,MAX(0,IFERROR(U22+0,0)+IFERROR(V22+0,0)-IFERROR(W22+0,0))))</f>
        <v/>
      </c>
      <c r="Y22" s="35" t="n"/>
      <c r="Z22" s="36">
        <f>IF(B22="","",IF(OR(J22="G",J22="D"),0,I22)+IF(OR(O22="G",O22="D"),0,N22)+IF(OR(T22="G",T22="D"),0,S22)+IF(OR(Y22="G",Y22="D"),0,X22))</f>
        <v/>
      </c>
      <c r="AA22" s="37">
        <f>IF(OR(B22="",Z22=0),"-",RANK.EQ(Z22,$Z$6:$Z$45,0))</f>
        <v/>
      </c>
      <c r="AB22" s="35">
        <f>IF(OR(B22="",I22=0),"-",IF(OR(J22="G",J22="D"),IF(J22="G","G","D"),COUNTIF($I$6:$I$45,"&gt;"&amp;I22)+1))</f>
        <v/>
      </c>
      <c r="AC22" s="35">
        <f>IF(OR(B22="",N22=0),"-",IF(OR(O22="G",O22="D"),IF(O22="G","G","D"),COUNTIF($N$6:$N$45,"&gt;"&amp;N22)+1))</f>
        <v/>
      </c>
      <c r="AD22" s="35">
        <f>IF(OR(B22="",S22=0),"-",IF(OR(T22="G",T22="D"),IF(T22="G","G","D"),COUNTIF($S$6:$S$45,"&gt;"&amp;S22)+1))</f>
        <v/>
      </c>
      <c r="AE22" s="35">
        <f>IF(OR(B22="",X22=0),"-",IF(OR(Y22="G",Y22="D"),IF(Y22="G","G","D"),COUNTIF($X$6:$X$45,"&gt;"&amp;X22)+1))</f>
        <v/>
      </c>
    </row>
    <row r="23">
      <c r="A23" s="38" t="n">
        <v>18</v>
      </c>
      <c r="B23" s="39" t="n"/>
      <c r="C23" s="39" t="n"/>
      <c r="D23" s="40" t="n"/>
      <c r="E23" s="41" t="n"/>
      <c r="F23" s="42" t="n"/>
      <c r="G23" s="42" t="n"/>
      <c r="H23" s="42" t="n"/>
      <c r="I23" s="34">
        <f>IF(OR(J23="G",J23="D"),0,IF(AND(F23="",G23=""),0,MAX(0,IFERROR(F23+0,0)+IFERROR(G23+0,0)-IFERROR(H23+0,0))))</f>
        <v/>
      </c>
      <c r="J23" s="43" t="n"/>
      <c r="K23" s="42" t="n"/>
      <c r="L23" s="42" t="n"/>
      <c r="M23" s="42" t="n"/>
      <c r="N23" s="34">
        <f>IF(OR(O23="G",O23="D"),0,IF(AND(K23="",L23=""),0,MAX(0,IFERROR(K23+0,0)+IFERROR(L23+0,0)-IFERROR(M23+0,0))))</f>
        <v/>
      </c>
      <c r="O23" s="43" t="n"/>
      <c r="P23" s="42" t="n"/>
      <c r="Q23" s="42" t="n"/>
      <c r="R23" s="42" t="n"/>
      <c r="S23" s="34">
        <f>IF(OR(T23="G",T23="D"),0,IF(AND(P23="",Q23=""),0,MAX(0,IFERROR(P23+0,0)+IFERROR(Q23+0,0)-IFERROR(R23+0,0))))</f>
        <v/>
      </c>
      <c r="T23" s="43" t="n"/>
      <c r="U23" s="42" t="n"/>
      <c r="V23" s="42" t="n"/>
      <c r="W23" s="42" t="n"/>
      <c r="X23" s="34">
        <f>IF(OR(Y23="G",Y23="D"),0,IF(AND(U23="",V23=""),0,MAX(0,IFERROR(U23+0,0)+IFERROR(V23+0,0)-IFERROR(W23+0,0))))</f>
        <v/>
      </c>
      <c r="Y23" s="43" t="n"/>
      <c r="Z23" s="36">
        <f>IF(B23="","",IF(OR(J23="G",J23="D"),0,I23)+IF(OR(O23="G",O23="D"),0,N23)+IF(OR(T23="G",T23="D"),0,S23)+IF(OR(Y23="G",Y23="D"),0,X23))</f>
        <v/>
      </c>
      <c r="AA23" s="37">
        <f>IF(OR(B23="",Z23=0),"-",RANK.EQ(Z23,$Z$6:$Z$45,0))</f>
        <v/>
      </c>
      <c r="AB23" s="43">
        <f>IF(OR(B23="",I23=0),"-",IF(OR(J23="G",J23="D"),IF(J23="G","G","D"),COUNTIF($I$6:$I$45,"&gt;"&amp;I23)+1))</f>
        <v/>
      </c>
      <c r="AC23" s="43">
        <f>IF(OR(B23="",N23=0),"-",IF(OR(O23="G",O23="D"),IF(O23="G","G","D"),COUNTIF($N$6:$N$45,"&gt;"&amp;N23)+1))</f>
        <v/>
      </c>
      <c r="AD23" s="43">
        <f>IF(OR(B23="",S23=0),"-",IF(OR(T23="G",T23="D"),IF(T23="G","G","D"),COUNTIF($S$6:$S$45,"&gt;"&amp;S23)+1))</f>
        <v/>
      </c>
      <c r="AE23" s="43">
        <f>IF(OR(B23="",X23=0),"-",IF(OR(Y23="G",Y23="D"),IF(Y23="G","G","D"),COUNTIF($X$6:$X$45,"&gt;"&amp;X23)+1))</f>
        <v/>
      </c>
    </row>
    <row r="24">
      <c r="A24" s="29" t="n">
        <v>19</v>
      </c>
      <c r="B24" s="30" t="n"/>
      <c r="C24" s="30" t="n"/>
      <c r="D24" s="31" t="n"/>
      <c r="E24" s="32" t="n"/>
      <c r="F24" s="33" t="n"/>
      <c r="G24" s="33" t="n"/>
      <c r="H24" s="33" t="n"/>
      <c r="I24" s="34">
        <f>IF(OR(J24="G",J24="D"),0,IF(AND(F24="",G24=""),0,MAX(0,IFERROR(F24+0,0)+IFERROR(G24+0,0)-IFERROR(H24+0,0))))</f>
        <v/>
      </c>
      <c r="J24" s="35" t="n"/>
      <c r="K24" s="33" t="n"/>
      <c r="L24" s="33" t="n"/>
      <c r="M24" s="33" t="n"/>
      <c r="N24" s="34">
        <f>IF(OR(O24="G",O24="D"),0,IF(AND(K24="",L24=""),0,MAX(0,IFERROR(K24+0,0)+IFERROR(L24+0,0)-IFERROR(M24+0,0))))</f>
        <v/>
      </c>
      <c r="O24" s="35" t="n"/>
      <c r="P24" s="33" t="n"/>
      <c r="Q24" s="33" t="n"/>
      <c r="R24" s="33" t="n"/>
      <c r="S24" s="34">
        <f>IF(OR(T24="G",T24="D"),0,IF(AND(P24="",Q24=""),0,MAX(0,IFERROR(P24+0,0)+IFERROR(Q24+0,0)-IFERROR(R24+0,0))))</f>
        <v/>
      </c>
      <c r="T24" s="35" t="n"/>
      <c r="U24" s="33" t="n"/>
      <c r="V24" s="33" t="n"/>
      <c r="W24" s="33" t="n"/>
      <c r="X24" s="34">
        <f>IF(OR(Y24="G",Y24="D"),0,IF(AND(U24="",V24=""),0,MAX(0,IFERROR(U24+0,0)+IFERROR(V24+0,0)-IFERROR(W24+0,0))))</f>
        <v/>
      </c>
      <c r="Y24" s="35" t="n"/>
      <c r="Z24" s="36">
        <f>IF(B24="","",IF(OR(J24="G",J24="D"),0,I24)+IF(OR(O24="G",O24="D"),0,N24)+IF(OR(T24="G",T24="D"),0,S24)+IF(OR(Y24="G",Y24="D"),0,X24))</f>
        <v/>
      </c>
      <c r="AA24" s="37">
        <f>IF(OR(B24="",Z24=0),"-",RANK.EQ(Z24,$Z$6:$Z$45,0))</f>
        <v/>
      </c>
      <c r="AB24" s="35">
        <f>IF(OR(B24="",I24=0),"-",IF(OR(J24="G",J24="D"),IF(J24="G","G","D"),COUNTIF($I$6:$I$45,"&gt;"&amp;I24)+1))</f>
        <v/>
      </c>
      <c r="AC24" s="35">
        <f>IF(OR(B24="",N24=0),"-",IF(OR(O24="G",O24="D"),IF(O24="G","G","D"),COUNTIF($N$6:$N$45,"&gt;"&amp;N24)+1))</f>
        <v/>
      </c>
      <c r="AD24" s="35">
        <f>IF(OR(B24="",S24=0),"-",IF(OR(T24="G",T24="D"),IF(T24="G","G","D"),COUNTIF($S$6:$S$45,"&gt;"&amp;S24)+1))</f>
        <v/>
      </c>
      <c r="AE24" s="35">
        <f>IF(OR(B24="",X24=0),"-",IF(OR(Y24="G",Y24="D"),IF(Y24="G","G","D"),COUNTIF($X$6:$X$45,"&gt;"&amp;X24)+1))</f>
        <v/>
      </c>
    </row>
    <row r="25">
      <c r="A25" s="38" t="n">
        <v>20</v>
      </c>
      <c r="B25" s="39" t="n"/>
      <c r="C25" s="39" t="n"/>
      <c r="D25" s="40" t="n"/>
      <c r="E25" s="41" t="n"/>
      <c r="F25" s="42" t="n"/>
      <c r="G25" s="42" t="n"/>
      <c r="H25" s="42" t="n"/>
      <c r="I25" s="34">
        <f>IF(OR(J25="G",J25="D"),0,IF(AND(F25="",G25=""),0,MAX(0,IFERROR(F25+0,0)+IFERROR(G25+0,0)-IFERROR(H25+0,0))))</f>
        <v/>
      </c>
      <c r="J25" s="43" t="n"/>
      <c r="K25" s="42" t="n"/>
      <c r="L25" s="42" t="n"/>
      <c r="M25" s="42" t="n"/>
      <c r="N25" s="34">
        <f>IF(OR(O25="G",O25="D"),0,IF(AND(K25="",L25=""),0,MAX(0,IFERROR(K25+0,0)+IFERROR(L25+0,0)-IFERROR(M25+0,0))))</f>
        <v/>
      </c>
      <c r="O25" s="43" t="n"/>
      <c r="P25" s="42" t="n"/>
      <c r="Q25" s="42" t="n"/>
      <c r="R25" s="42" t="n"/>
      <c r="S25" s="34">
        <f>IF(OR(T25="G",T25="D"),0,IF(AND(P25="",Q25=""),0,MAX(0,IFERROR(P25+0,0)+IFERROR(Q25+0,0)-IFERROR(R25+0,0))))</f>
        <v/>
      </c>
      <c r="T25" s="43" t="n"/>
      <c r="U25" s="42" t="n"/>
      <c r="V25" s="42" t="n"/>
      <c r="W25" s="42" t="n"/>
      <c r="X25" s="34">
        <f>IF(OR(Y25="G",Y25="D"),0,IF(AND(U25="",V25=""),0,MAX(0,IFERROR(U25+0,0)+IFERROR(V25+0,0)-IFERROR(W25+0,0))))</f>
        <v/>
      </c>
      <c r="Y25" s="43" t="n"/>
      <c r="Z25" s="36">
        <f>IF(B25="","",IF(OR(J25="G",J25="D"),0,I25)+IF(OR(O25="G",O25="D"),0,N25)+IF(OR(T25="G",T25="D"),0,S25)+IF(OR(Y25="G",Y25="D"),0,X25))</f>
        <v/>
      </c>
      <c r="AA25" s="37">
        <f>IF(OR(B25="",Z25=0),"-",RANK.EQ(Z25,$Z$6:$Z$45,0))</f>
        <v/>
      </c>
      <c r="AB25" s="43">
        <f>IF(OR(B25="",I25=0),"-",IF(OR(J25="G",J25="D"),IF(J25="G","G","D"),COUNTIF($I$6:$I$45,"&gt;"&amp;I25)+1))</f>
        <v/>
      </c>
      <c r="AC25" s="43">
        <f>IF(OR(B25="",N25=0),"-",IF(OR(O25="G",O25="D"),IF(O25="G","G","D"),COUNTIF($N$6:$N$45,"&gt;"&amp;N25)+1))</f>
        <v/>
      </c>
      <c r="AD25" s="43">
        <f>IF(OR(B25="",S25=0),"-",IF(OR(T25="G",T25="D"),IF(T25="G","G","D"),COUNTIF($S$6:$S$45,"&gt;"&amp;S25)+1))</f>
        <v/>
      </c>
      <c r="AE25" s="43">
        <f>IF(OR(B25="",X25=0),"-",IF(OR(Y25="G",Y25="D"),IF(Y25="G","G","D"),COUNTIF($X$6:$X$45,"&gt;"&amp;X25)+1))</f>
        <v/>
      </c>
    </row>
    <row r="26">
      <c r="A26" s="29" t="n">
        <v>21</v>
      </c>
      <c r="B26" s="30" t="n"/>
      <c r="C26" s="30" t="n"/>
      <c r="D26" s="31" t="n"/>
      <c r="E26" s="32" t="n"/>
      <c r="F26" s="33" t="n"/>
      <c r="G26" s="33" t="n"/>
      <c r="H26" s="33" t="n"/>
      <c r="I26" s="34">
        <f>IF(OR(J26="G",J26="D"),0,IF(AND(F26="",G26=""),0,MAX(0,IFERROR(F26+0,0)+IFERROR(G26+0,0)-IFERROR(H26+0,0))))</f>
        <v/>
      </c>
      <c r="J26" s="35" t="n"/>
      <c r="K26" s="33" t="n"/>
      <c r="L26" s="33" t="n"/>
      <c r="M26" s="33" t="n"/>
      <c r="N26" s="34">
        <f>IF(OR(O26="G",O26="D"),0,IF(AND(K26="",L26=""),0,MAX(0,IFERROR(K26+0,0)+IFERROR(L26+0,0)-IFERROR(M26+0,0))))</f>
        <v/>
      </c>
      <c r="O26" s="35" t="n"/>
      <c r="P26" s="33" t="n"/>
      <c r="Q26" s="33" t="n"/>
      <c r="R26" s="33" t="n"/>
      <c r="S26" s="34">
        <f>IF(OR(T26="G",T26="D"),0,IF(AND(P26="",Q26=""),0,MAX(0,IFERROR(P26+0,0)+IFERROR(Q26+0,0)-IFERROR(R26+0,0))))</f>
        <v/>
      </c>
      <c r="T26" s="35" t="n"/>
      <c r="U26" s="33" t="n"/>
      <c r="V26" s="33" t="n"/>
      <c r="W26" s="33" t="n"/>
      <c r="X26" s="34">
        <f>IF(OR(Y26="G",Y26="D"),0,IF(AND(U26="",V26=""),0,MAX(0,IFERROR(U26+0,0)+IFERROR(V26+0,0)-IFERROR(W26+0,0))))</f>
        <v/>
      </c>
      <c r="Y26" s="35" t="n"/>
      <c r="Z26" s="36">
        <f>IF(B26="","",IF(OR(J26="G",J26="D"),0,I26)+IF(OR(O26="G",O26="D"),0,N26)+IF(OR(T26="G",T26="D"),0,S26)+IF(OR(Y26="G",Y26="D"),0,X26))</f>
        <v/>
      </c>
      <c r="AA26" s="37">
        <f>IF(OR(B26="",Z26=0),"-",RANK.EQ(Z26,$Z$6:$Z$45,0))</f>
        <v/>
      </c>
      <c r="AB26" s="35">
        <f>IF(OR(B26="",I26=0),"-",IF(OR(J26="G",J26="D"),IF(J26="G","G","D"),COUNTIF($I$6:$I$45,"&gt;"&amp;I26)+1))</f>
        <v/>
      </c>
      <c r="AC26" s="35">
        <f>IF(OR(B26="",N26=0),"-",IF(OR(O26="G",O26="D"),IF(O26="G","G","D"),COUNTIF($N$6:$N$45,"&gt;"&amp;N26)+1))</f>
        <v/>
      </c>
      <c r="AD26" s="35">
        <f>IF(OR(B26="",S26=0),"-",IF(OR(T26="G",T26="D"),IF(T26="G","G","D"),COUNTIF($S$6:$S$45,"&gt;"&amp;S26)+1))</f>
        <v/>
      </c>
      <c r="AE26" s="35">
        <f>IF(OR(B26="",X26=0),"-",IF(OR(Y26="G",Y26="D"),IF(Y26="G","G","D"),COUNTIF($X$6:$X$45,"&gt;"&amp;X26)+1))</f>
        <v/>
      </c>
    </row>
    <row r="27">
      <c r="A27" s="38" t="n">
        <v>22</v>
      </c>
      <c r="B27" s="39" t="n"/>
      <c r="C27" s="39" t="n"/>
      <c r="D27" s="40" t="n"/>
      <c r="E27" s="41" t="n"/>
      <c r="F27" s="42" t="n"/>
      <c r="G27" s="42" t="n"/>
      <c r="H27" s="42" t="n"/>
      <c r="I27" s="34">
        <f>IF(OR(J27="G",J27="D"),0,IF(AND(F27="",G27=""),0,MAX(0,IFERROR(F27+0,0)+IFERROR(G27+0,0)-IFERROR(H27+0,0))))</f>
        <v/>
      </c>
      <c r="J27" s="43" t="n"/>
      <c r="K27" s="42" t="n"/>
      <c r="L27" s="42" t="n"/>
      <c r="M27" s="42" t="n"/>
      <c r="N27" s="34">
        <f>IF(OR(O27="G",O27="D"),0,IF(AND(K27="",L27=""),0,MAX(0,IFERROR(K27+0,0)+IFERROR(L27+0,0)-IFERROR(M27+0,0))))</f>
        <v/>
      </c>
      <c r="O27" s="43" t="n"/>
      <c r="P27" s="42" t="n"/>
      <c r="Q27" s="42" t="n"/>
      <c r="R27" s="42" t="n"/>
      <c r="S27" s="34">
        <f>IF(OR(T27="G",T27="D"),0,IF(AND(P27="",Q27=""),0,MAX(0,IFERROR(P27+0,0)+IFERROR(Q27+0,0)-IFERROR(R27+0,0))))</f>
        <v/>
      </c>
      <c r="T27" s="43" t="n"/>
      <c r="U27" s="42" t="n"/>
      <c r="V27" s="42" t="n"/>
      <c r="W27" s="42" t="n"/>
      <c r="X27" s="34">
        <f>IF(OR(Y27="G",Y27="D"),0,IF(AND(U27="",V27=""),0,MAX(0,IFERROR(U27+0,0)+IFERROR(V27+0,0)-IFERROR(W27+0,0))))</f>
        <v/>
      </c>
      <c r="Y27" s="43" t="n"/>
      <c r="Z27" s="36">
        <f>IF(B27="","",IF(OR(J27="G",J27="D"),0,I27)+IF(OR(O27="G",O27="D"),0,N27)+IF(OR(T27="G",T27="D"),0,S27)+IF(OR(Y27="G",Y27="D"),0,X27))</f>
        <v/>
      </c>
      <c r="AA27" s="37">
        <f>IF(OR(B27="",Z27=0),"-",RANK.EQ(Z27,$Z$6:$Z$45,0))</f>
        <v/>
      </c>
      <c r="AB27" s="43">
        <f>IF(OR(B27="",I27=0),"-",IF(OR(J27="G",J27="D"),IF(J27="G","G","D"),COUNTIF($I$6:$I$45,"&gt;"&amp;I27)+1))</f>
        <v/>
      </c>
      <c r="AC27" s="43">
        <f>IF(OR(B27="",N27=0),"-",IF(OR(O27="G",O27="D"),IF(O27="G","G","D"),COUNTIF($N$6:$N$45,"&gt;"&amp;N27)+1))</f>
        <v/>
      </c>
      <c r="AD27" s="43">
        <f>IF(OR(B27="",S27=0),"-",IF(OR(T27="G",T27="D"),IF(T27="G","G","D"),COUNTIF($S$6:$S$45,"&gt;"&amp;S27)+1))</f>
        <v/>
      </c>
      <c r="AE27" s="43">
        <f>IF(OR(B27="",X27=0),"-",IF(OR(Y27="G",Y27="D"),IF(Y27="G","G","D"),COUNTIF($X$6:$X$45,"&gt;"&amp;X27)+1))</f>
        <v/>
      </c>
    </row>
    <row r="28">
      <c r="A28" s="29" t="n">
        <v>23</v>
      </c>
      <c r="B28" s="30" t="n"/>
      <c r="C28" s="30" t="n"/>
      <c r="D28" s="31" t="n"/>
      <c r="E28" s="32" t="n"/>
      <c r="F28" s="33" t="n"/>
      <c r="G28" s="33" t="n"/>
      <c r="H28" s="33" t="n"/>
      <c r="I28" s="34">
        <f>IF(OR(J28="G",J28="D"),0,IF(AND(F28="",G28=""),0,MAX(0,IFERROR(F28+0,0)+IFERROR(G28+0,0)-IFERROR(H28+0,0))))</f>
        <v/>
      </c>
      <c r="J28" s="35" t="n"/>
      <c r="K28" s="33" t="n"/>
      <c r="L28" s="33" t="n"/>
      <c r="M28" s="33" t="n"/>
      <c r="N28" s="34">
        <f>IF(OR(O28="G",O28="D"),0,IF(AND(K28="",L28=""),0,MAX(0,IFERROR(K28+0,0)+IFERROR(L28+0,0)-IFERROR(M28+0,0))))</f>
        <v/>
      </c>
      <c r="O28" s="35" t="n"/>
      <c r="P28" s="33" t="n"/>
      <c r="Q28" s="33" t="n"/>
      <c r="R28" s="33" t="n"/>
      <c r="S28" s="34">
        <f>IF(OR(T28="G",T28="D"),0,IF(AND(P28="",Q28=""),0,MAX(0,IFERROR(P28+0,0)+IFERROR(Q28+0,0)-IFERROR(R28+0,0))))</f>
        <v/>
      </c>
      <c r="T28" s="35" t="n"/>
      <c r="U28" s="33" t="n"/>
      <c r="V28" s="33" t="n"/>
      <c r="W28" s="33" t="n"/>
      <c r="X28" s="34">
        <f>IF(OR(Y28="G",Y28="D"),0,IF(AND(U28="",V28=""),0,MAX(0,IFERROR(U28+0,0)+IFERROR(V28+0,0)-IFERROR(W28+0,0))))</f>
        <v/>
      </c>
      <c r="Y28" s="35" t="n"/>
      <c r="Z28" s="36">
        <f>IF(B28="","",IF(OR(J28="G",J28="D"),0,I28)+IF(OR(O28="G",O28="D"),0,N28)+IF(OR(T28="G",T28="D"),0,S28)+IF(OR(Y28="G",Y28="D"),0,X28))</f>
        <v/>
      </c>
      <c r="AA28" s="37">
        <f>IF(OR(B28="",Z28=0),"-",RANK.EQ(Z28,$Z$6:$Z$45,0))</f>
        <v/>
      </c>
      <c r="AB28" s="35">
        <f>IF(OR(B28="",I28=0),"-",IF(OR(J28="G",J28="D"),IF(J28="G","G","D"),COUNTIF($I$6:$I$45,"&gt;"&amp;I28)+1))</f>
        <v/>
      </c>
      <c r="AC28" s="35">
        <f>IF(OR(B28="",N28=0),"-",IF(OR(O28="G",O28="D"),IF(O28="G","G","D"),COUNTIF($N$6:$N$45,"&gt;"&amp;N28)+1))</f>
        <v/>
      </c>
      <c r="AD28" s="35">
        <f>IF(OR(B28="",S28=0),"-",IF(OR(T28="G",T28="D"),IF(T28="G","G","D"),COUNTIF($S$6:$S$45,"&gt;"&amp;S28)+1))</f>
        <v/>
      </c>
      <c r="AE28" s="35">
        <f>IF(OR(B28="",X28=0),"-",IF(OR(Y28="G",Y28="D"),IF(Y28="G","G","D"),COUNTIF($X$6:$X$45,"&gt;"&amp;X28)+1))</f>
        <v/>
      </c>
    </row>
    <row r="29">
      <c r="A29" s="38" t="n">
        <v>24</v>
      </c>
      <c r="B29" s="39" t="n"/>
      <c r="C29" s="39" t="n"/>
      <c r="D29" s="40" t="n"/>
      <c r="E29" s="41" t="n"/>
      <c r="F29" s="42" t="n"/>
      <c r="G29" s="42" t="n"/>
      <c r="H29" s="42" t="n"/>
      <c r="I29" s="34">
        <f>IF(OR(J29="G",J29="D"),0,IF(AND(F29="",G29=""),0,MAX(0,IFERROR(F29+0,0)+IFERROR(G29+0,0)-IFERROR(H29+0,0))))</f>
        <v/>
      </c>
      <c r="J29" s="43" t="n"/>
      <c r="K29" s="42" t="n"/>
      <c r="L29" s="42" t="n"/>
      <c r="M29" s="42" t="n"/>
      <c r="N29" s="34">
        <f>IF(OR(O29="G",O29="D"),0,IF(AND(K29="",L29=""),0,MAX(0,IFERROR(K29+0,0)+IFERROR(L29+0,0)-IFERROR(M29+0,0))))</f>
        <v/>
      </c>
      <c r="O29" s="43" t="n"/>
      <c r="P29" s="42" t="n"/>
      <c r="Q29" s="42" t="n"/>
      <c r="R29" s="42" t="n"/>
      <c r="S29" s="34">
        <f>IF(OR(T29="G",T29="D"),0,IF(AND(P29="",Q29=""),0,MAX(0,IFERROR(P29+0,0)+IFERROR(Q29+0,0)-IFERROR(R29+0,0))))</f>
        <v/>
      </c>
      <c r="T29" s="43" t="n"/>
      <c r="U29" s="42" t="n"/>
      <c r="V29" s="42" t="n"/>
      <c r="W29" s="42" t="n"/>
      <c r="X29" s="34">
        <f>IF(OR(Y29="G",Y29="D"),0,IF(AND(U29="",V29=""),0,MAX(0,IFERROR(U29+0,0)+IFERROR(V29+0,0)-IFERROR(W29+0,0))))</f>
        <v/>
      </c>
      <c r="Y29" s="43" t="n"/>
      <c r="Z29" s="36">
        <f>IF(B29="","",IF(OR(J29="G",J29="D"),0,I29)+IF(OR(O29="G",O29="D"),0,N29)+IF(OR(T29="G",T29="D"),0,S29)+IF(OR(Y29="G",Y29="D"),0,X29))</f>
        <v/>
      </c>
      <c r="AA29" s="37">
        <f>IF(OR(B29="",Z29=0),"-",RANK.EQ(Z29,$Z$6:$Z$45,0))</f>
        <v/>
      </c>
      <c r="AB29" s="43">
        <f>IF(OR(B29="",I29=0),"-",IF(OR(J29="G",J29="D"),IF(J29="G","G","D"),COUNTIF($I$6:$I$45,"&gt;"&amp;I29)+1))</f>
        <v/>
      </c>
      <c r="AC29" s="43">
        <f>IF(OR(B29="",N29=0),"-",IF(OR(O29="G",O29="D"),IF(O29="G","G","D"),COUNTIF($N$6:$N$45,"&gt;"&amp;N29)+1))</f>
        <v/>
      </c>
      <c r="AD29" s="43">
        <f>IF(OR(B29="",S29=0),"-",IF(OR(T29="G",T29="D"),IF(T29="G","G","D"),COUNTIF($S$6:$S$45,"&gt;"&amp;S29)+1))</f>
        <v/>
      </c>
      <c r="AE29" s="43">
        <f>IF(OR(B29="",X29=0),"-",IF(OR(Y29="G",Y29="D"),IF(Y29="G","G","D"),COUNTIF($X$6:$X$45,"&gt;"&amp;X29)+1))</f>
        <v/>
      </c>
    </row>
    <row r="30">
      <c r="A30" s="29" t="n">
        <v>25</v>
      </c>
      <c r="B30" s="30" t="n"/>
      <c r="C30" s="30" t="n"/>
      <c r="D30" s="31" t="n"/>
      <c r="E30" s="32" t="n"/>
      <c r="F30" s="33" t="n"/>
      <c r="G30" s="33" t="n"/>
      <c r="H30" s="33" t="n"/>
      <c r="I30" s="34">
        <f>IF(OR(J30="G",J30="D"),0,IF(AND(F30="",G30=""),0,MAX(0,IFERROR(F30+0,0)+IFERROR(G30+0,0)-IFERROR(H30+0,0))))</f>
        <v/>
      </c>
      <c r="J30" s="35" t="n"/>
      <c r="K30" s="33" t="n"/>
      <c r="L30" s="33" t="n"/>
      <c r="M30" s="33" t="n"/>
      <c r="N30" s="34">
        <f>IF(OR(O30="G",O30="D"),0,IF(AND(K30="",L30=""),0,MAX(0,IFERROR(K30+0,0)+IFERROR(L30+0,0)-IFERROR(M30+0,0))))</f>
        <v/>
      </c>
      <c r="O30" s="35" t="n"/>
      <c r="P30" s="33" t="n"/>
      <c r="Q30" s="33" t="n"/>
      <c r="R30" s="33" t="n"/>
      <c r="S30" s="34">
        <f>IF(OR(T30="G",T30="D"),0,IF(AND(P30="",Q30=""),0,MAX(0,IFERROR(P30+0,0)+IFERROR(Q30+0,0)-IFERROR(R30+0,0))))</f>
        <v/>
      </c>
      <c r="T30" s="35" t="n"/>
      <c r="U30" s="33" t="n"/>
      <c r="V30" s="33" t="n"/>
      <c r="W30" s="33" t="n"/>
      <c r="X30" s="34">
        <f>IF(OR(Y30="G",Y30="D"),0,IF(AND(U30="",V30=""),0,MAX(0,IFERROR(U30+0,0)+IFERROR(V30+0,0)-IFERROR(W30+0,0))))</f>
        <v/>
      </c>
      <c r="Y30" s="35" t="n"/>
      <c r="Z30" s="36">
        <f>IF(B30="","",IF(OR(J30="G",J30="D"),0,I30)+IF(OR(O30="G",O30="D"),0,N30)+IF(OR(T30="G",T30="D"),0,S30)+IF(OR(Y30="G",Y30="D"),0,X30))</f>
        <v/>
      </c>
      <c r="AA30" s="37">
        <f>IF(OR(B30="",Z30=0),"-",RANK.EQ(Z30,$Z$6:$Z$45,0))</f>
        <v/>
      </c>
      <c r="AB30" s="35">
        <f>IF(OR(B30="",I30=0),"-",IF(OR(J30="G",J30="D"),IF(J30="G","G","D"),COUNTIF($I$6:$I$45,"&gt;"&amp;I30)+1))</f>
        <v/>
      </c>
      <c r="AC30" s="35">
        <f>IF(OR(B30="",N30=0),"-",IF(OR(O30="G",O30="D"),IF(O30="G","G","D"),COUNTIF($N$6:$N$45,"&gt;"&amp;N30)+1))</f>
        <v/>
      </c>
      <c r="AD30" s="35">
        <f>IF(OR(B30="",S30=0),"-",IF(OR(T30="G",T30="D"),IF(T30="G","G","D"),COUNTIF($S$6:$S$45,"&gt;"&amp;S30)+1))</f>
        <v/>
      </c>
      <c r="AE30" s="35">
        <f>IF(OR(B30="",X30=0),"-",IF(OR(Y30="G",Y30="D"),IF(Y30="G","G","D"),COUNTIF($X$6:$X$45,"&gt;"&amp;X30)+1))</f>
        <v/>
      </c>
    </row>
    <row r="31">
      <c r="A31" s="38" t="n">
        <v>26</v>
      </c>
      <c r="B31" s="39" t="n"/>
      <c r="C31" s="39" t="n"/>
      <c r="D31" s="40" t="n"/>
      <c r="E31" s="41" t="n"/>
      <c r="F31" s="42" t="n"/>
      <c r="G31" s="42" t="n"/>
      <c r="H31" s="42" t="n"/>
      <c r="I31" s="34">
        <f>IF(OR(J31="G",J31="D"),0,IF(AND(F31="",G31=""),0,MAX(0,IFERROR(F31+0,0)+IFERROR(G31+0,0)-IFERROR(H31+0,0))))</f>
        <v/>
      </c>
      <c r="J31" s="43" t="n"/>
      <c r="K31" s="42" t="n"/>
      <c r="L31" s="42" t="n"/>
      <c r="M31" s="42" t="n"/>
      <c r="N31" s="34">
        <f>IF(OR(O31="G",O31="D"),0,IF(AND(K31="",L31=""),0,MAX(0,IFERROR(K31+0,0)+IFERROR(L31+0,0)-IFERROR(M31+0,0))))</f>
        <v/>
      </c>
      <c r="O31" s="43" t="n"/>
      <c r="P31" s="42" t="n"/>
      <c r="Q31" s="42" t="n"/>
      <c r="R31" s="42" t="n"/>
      <c r="S31" s="34">
        <f>IF(OR(T31="G",T31="D"),0,IF(AND(P31="",Q31=""),0,MAX(0,IFERROR(P31+0,0)+IFERROR(Q31+0,0)-IFERROR(R31+0,0))))</f>
        <v/>
      </c>
      <c r="T31" s="43" t="n"/>
      <c r="U31" s="42" t="n"/>
      <c r="V31" s="42" t="n"/>
      <c r="W31" s="42" t="n"/>
      <c r="X31" s="34">
        <f>IF(OR(Y31="G",Y31="D"),0,IF(AND(U31="",V31=""),0,MAX(0,IFERROR(U31+0,0)+IFERROR(V31+0,0)-IFERROR(W31+0,0))))</f>
        <v/>
      </c>
      <c r="Y31" s="43" t="n"/>
      <c r="Z31" s="36">
        <f>IF(B31="","",IF(OR(J31="G",J31="D"),0,I31)+IF(OR(O31="G",O31="D"),0,N31)+IF(OR(T31="G",T31="D"),0,S31)+IF(OR(Y31="G",Y31="D"),0,X31))</f>
        <v/>
      </c>
      <c r="AA31" s="37">
        <f>IF(OR(B31="",Z31=0),"-",RANK.EQ(Z31,$Z$6:$Z$45,0))</f>
        <v/>
      </c>
      <c r="AB31" s="43">
        <f>IF(OR(B31="",I31=0),"-",IF(OR(J31="G",J31="D"),IF(J31="G","G","D"),COUNTIF($I$6:$I$45,"&gt;"&amp;I31)+1))</f>
        <v/>
      </c>
      <c r="AC31" s="43">
        <f>IF(OR(B31="",N31=0),"-",IF(OR(O31="G",O31="D"),IF(O31="G","G","D"),COUNTIF($N$6:$N$45,"&gt;"&amp;N31)+1))</f>
        <v/>
      </c>
      <c r="AD31" s="43">
        <f>IF(OR(B31="",S31=0),"-",IF(OR(T31="G",T31="D"),IF(T31="G","G","D"),COUNTIF($S$6:$S$45,"&gt;"&amp;S31)+1))</f>
        <v/>
      </c>
      <c r="AE31" s="43">
        <f>IF(OR(B31="",X31=0),"-",IF(OR(Y31="G",Y31="D"),IF(Y31="G","G","D"),COUNTIF($X$6:$X$45,"&gt;"&amp;X31)+1))</f>
        <v/>
      </c>
    </row>
    <row r="32">
      <c r="A32" s="29" t="n">
        <v>27</v>
      </c>
      <c r="B32" s="30" t="n"/>
      <c r="C32" s="30" t="n"/>
      <c r="D32" s="31" t="n"/>
      <c r="E32" s="32" t="n"/>
      <c r="F32" s="33" t="n"/>
      <c r="G32" s="33" t="n"/>
      <c r="H32" s="33" t="n"/>
      <c r="I32" s="34">
        <f>IF(OR(J32="G",J32="D"),0,IF(AND(F32="",G32=""),0,MAX(0,IFERROR(F32+0,0)+IFERROR(G32+0,0)-IFERROR(H32+0,0))))</f>
        <v/>
      </c>
      <c r="J32" s="35" t="n"/>
      <c r="K32" s="33" t="n"/>
      <c r="L32" s="33" t="n"/>
      <c r="M32" s="33" t="n"/>
      <c r="N32" s="34">
        <f>IF(OR(O32="G",O32="D"),0,IF(AND(K32="",L32=""),0,MAX(0,IFERROR(K32+0,0)+IFERROR(L32+0,0)-IFERROR(M32+0,0))))</f>
        <v/>
      </c>
      <c r="O32" s="35" t="n"/>
      <c r="P32" s="33" t="n"/>
      <c r="Q32" s="33" t="n"/>
      <c r="R32" s="33" t="n"/>
      <c r="S32" s="34">
        <f>IF(OR(T32="G",T32="D"),0,IF(AND(P32="",Q32=""),0,MAX(0,IFERROR(P32+0,0)+IFERROR(Q32+0,0)-IFERROR(R32+0,0))))</f>
        <v/>
      </c>
      <c r="T32" s="35" t="n"/>
      <c r="U32" s="33" t="n"/>
      <c r="V32" s="33" t="n"/>
      <c r="W32" s="33" t="n"/>
      <c r="X32" s="34">
        <f>IF(OR(Y32="G",Y32="D"),0,IF(AND(U32="",V32=""),0,MAX(0,IFERROR(U32+0,0)+IFERROR(V32+0,0)-IFERROR(W32+0,0))))</f>
        <v/>
      </c>
      <c r="Y32" s="35" t="n"/>
      <c r="Z32" s="36">
        <f>IF(B32="","",IF(OR(J32="G",J32="D"),0,I32)+IF(OR(O32="G",O32="D"),0,N32)+IF(OR(T32="G",T32="D"),0,S32)+IF(OR(Y32="G",Y32="D"),0,X32))</f>
        <v/>
      </c>
      <c r="AA32" s="37">
        <f>IF(OR(B32="",Z32=0),"-",RANK.EQ(Z32,$Z$6:$Z$45,0))</f>
        <v/>
      </c>
      <c r="AB32" s="35">
        <f>IF(OR(B32="",I32=0),"-",IF(OR(J32="G",J32="D"),IF(J32="G","G","D"),COUNTIF($I$6:$I$45,"&gt;"&amp;I32)+1))</f>
        <v/>
      </c>
      <c r="AC32" s="35">
        <f>IF(OR(B32="",N32=0),"-",IF(OR(O32="G",O32="D"),IF(O32="G","G","D"),COUNTIF($N$6:$N$45,"&gt;"&amp;N32)+1))</f>
        <v/>
      </c>
      <c r="AD32" s="35">
        <f>IF(OR(B32="",S32=0),"-",IF(OR(T32="G",T32="D"),IF(T32="G","G","D"),COUNTIF($S$6:$S$45,"&gt;"&amp;S32)+1))</f>
        <v/>
      </c>
      <c r="AE32" s="35">
        <f>IF(OR(B32="",X32=0),"-",IF(OR(Y32="G",Y32="D"),IF(Y32="G","G","D"),COUNTIF($X$6:$X$45,"&gt;"&amp;X32)+1))</f>
        <v/>
      </c>
    </row>
    <row r="33">
      <c r="A33" s="38" t="n">
        <v>28</v>
      </c>
      <c r="B33" s="39" t="n"/>
      <c r="C33" s="39" t="n"/>
      <c r="D33" s="40" t="n"/>
      <c r="E33" s="41" t="n"/>
      <c r="F33" s="42" t="n"/>
      <c r="G33" s="42" t="n"/>
      <c r="H33" s="42" t="n"/>
      <c r="I33" s="34">
        <f>IF(OR(J33="G",J33="D"),0,IF(AND(F33="",G33=""),0,MAX(0,IFERROR(F33+0,0)+IFERROR(G33+0,0)-IFERROR(H33+0,0))))</f>
        <v/>
      </c>
      <c r="J33" s="43" t="n"/>
      <c r="K33" s="42" t="n"/>
      <c r="L33" s="42" t="n"/>
      <c r="M33" s="42" t="n"/>
      <c r="N33" s="34">
        <f>IF(OR(O33="G",O33="D"),0,IF(AND(K33="",L33=""),0,MAX(0,IFERROR(K33+0,0)+IFERROR(L33+0,0)-IFERROR(M33+0,0))))</f>
        <v/>
      </c>
      <c r="O33" s="43" t="n"/>
      <c r="P33" s="42" t="n"/>
      <c r="Q33" s="42" t="n"/>
      <c r="R33" s="42" t="n"/>
      <c r="S33" s="34">
        <f>IF(OR(T33="G",T33="D"),0,IF(AND(P33="",Q33=""),0,MAX(0,IFERROR(P33+0,0)+IFERROR(Q33+0,0)-IFERROR(R33+0,0))))</f>
        <v/>
      </c>
      <c r="T33" s="43" t="n"/>
      <c r="U33" s="42" t="n"/>
      <c r="V33" s="42" t="n"/>
      <c r="W33" s="42" t="n"/>
      <c r="X33" s="34">
        <f>IF(OR(Y33="G",Y33="D"),0,IF(AND(U33="",V33=""),0,MAX(0,IFERROR(U33+0,0)+IFERROR(V33+0,0)-IFERROR(W33+0,0))))</f>
        <v/>
      </c>
      <c r="Y33" s="43" t="n"/>
      <c r="Z33" s="36">
        <f>IF(B33="","",IF(OR(J33="G",J33="D"),0,I33)+IF(OR(O33="G",O33="D"),0,N33)+IF(OR(T33="G",T33="D"),0,S33)+IF(OR(Y33="G",Y33="D"),0,X33))</f>
        <v/>
      </c>
      <c r="AA33" s="37">
        <f>IF(OR(B33="",Z33=0),"-",RANK.EQ(Z33,$Z$6:$Z$45,0))</f>
        <v/>
      </c>
      <c r="AB33" s="43">
        <f>IF(OR(B33="",I33=0),"-",IF(OR(J33="G",J33="D"),IF(J33="G","G","D"),COUNTIF($I$6:$I$45,"&gt;"&amp;I33)+1))</f>
        <v/>
      </c>
      <c r="AC33" s="43">
        <f>IF(OR(B33="",N33=0),"-",IF(OR(O33="G",O33="D"),IF(O33="G","G","D"),COUNTIF($N$6:$N$45,"&gt;"&amp;N33)+1))</f>
        <v/>
      </c>
      <c r="AD33" s="43">
        <f>IF(OR(B33="",S33=0),"-",IF(OR(T33="G",T33="D"),IF(T33="G","G","D"),COUNTIF($S$6:$S$45,"&gt;"&amp;S33)+1))</f>
        <v/>
      </c>
      <c r="AE33" s="43">
        <f>IF(OR(B33="",X33=0),"-",IF(OR(Y33="G",Y33="D"),IF(Y33="G","G","D"),COUNTIF($X$6:$X$45,"&gt;"&amp;X33)+1))</f>
        <v/>
      </c>
    </row>
    <row r="34">
      <c r="A34" s="29" t="n">
        <v>29</v>
      </c>
      <c r="B34" s="30" t="n"/>
      <c r="C34" s="30" t="n"/>
      <c r="D34" s="31" t="n"/>
      <c r="E34" s="32" t="n"/>
      <c r="F34" s="33" t="n"/>
      <c r="G34" s="33" t="n"/>
      <c r="H34" s="33" t="n"/>
      <c r="I34" s="34">
        <f>IF(OR(J34="G",J34="D"),0,IF(AND(F34="",G34=""),0,MAX(0,IFERROR(F34+0,0)+IFERROR(G34+0,0)-IFERROR(H34+0,0))))</f>
        <v/>
      </c>
      <c r="J34" s="35" t="n"/>
      <c r="K34" s="33" t="n"/>
      <c r="L34" s="33" t="n"/>
      <c r="M34" s="33" t="n"/>
      <c r="N34" s="34">
        <f>IF(OR(O34="G",O34="D"),0,IF(AND(K34="",L34=""),0,MAX(0,IFERROR(K34+0,0)+IFERROR(L34+0,0)-IFERROR(M34+0,0))))</f>
        <v/>
      </c>
      <c r="O34" s="35" t="n"/>
      <c r="P34" s="33" t="n"/>
      <c r="Q34" s="33" t="n"/>
      <c r="R34" s="33" t="n"/>
      <c r="S34" s="34">
        <f>IF(OR(T34="G",T34="D"),0,IF(AND(P34="",Q34=""),0,MAX(0,IFERROR(P34+0,0)+IFERROR(Q34+0,0)-IFERROR(R34+0,0))))</f>
        <v/>
      </c>
      <c r="T34" s="35" t="n"/>
      <c r="U34" s="33" t="n"/>
      <c r="V34" s="33" t="n"/>
      <c r="W34" s="33" t="n"/>
      <c r="X34" s="34">
        <f>IF(OR(Y34="G",Y34="D"),0,IF(AND(U34="",V34=""),0,MAX(0,IFERROR(U34+0,0)+IFERROR(V34+0,0)-IFERROR(W34+0,0))))</f>
        <v/>
      </c>
      <c r="Y34" s="35" t="n"/>
      <c r="Z34" s="36">
        <f>IF(B34="","",IF(OR(J34="G",J34="D"),0,I34)+IF(OR(O34="G",O34="D"),0,N34)+IF(OR(T34="G",T34="D"),0,S34)+IF(OR(Y34="G",Y34="D"),0,X34))</f>
        <v/>
      </c>
      <c r="AA34" s="37">
        <f>IF(OR(B34="",Z34=0),"-",RANK.EQ(Z34,$Z$6:$Z$45,0))</f>
        <v/>
      </c>
      <c r="AB34" s="35">
        <f>IF(OR(B34="",I34=0),"-",IF(OR(J34="G",J34="D"),IF(J34="G","G","D"),COUNTIF($I$6:$I$45,"&gt;"&amp;I34)+1))</f>
        <v/>
      </c>
      <c r="AC34" s="35">
        <f>IF(OR(B34="",N34=0),"-",IF(OR(O34="G",O34="D"),IF(O34="G","G","D"),COUNTIF($N$6:$N$45,"&gt;"&amp;N34)+1))</f>
        <v/>
      </c>
      <c r="AD34" s="35">
        <f>IF(OR(B34="",S34=0),"-",IF(OR(T34="G",T34="D"),IF(T34="G","G","D"),COUNTIF($S$6:$S$45,"&gt;"&amp;S34)+1))</f>
        <v/>
      </c>
      <c r="AE34" s="35">
        <f>IF(OR(B34="",X34=0),"-",IF(OR(Y34="G",Y34="D"),IF(Y34="G","G","D"),COUNTIF($X$6:$X$45,"&gt;"&amp;X34)+1))</f>
        <v/>
      </c>
    </row>
    <row r="35">
      <c r="A35" s="38" t="n">
        <v>30</v>
      </c>
      <c r="B35" s="39" t="n"/>
      <c r="C35" s="39" t="n"/>
      <c r="D35" s="40" t="n"/>
      <c r="E35" s="41" t="n"/>
      <c r="F35" s="42" t="n"/>
      <c r="G35" s="42" t="n"/>
      <c r="H35" s="42" t="n"/>
      <c r="I35" s="34">
        <f>IF(OR(J35="G",J35="D"),0,IF(AND(F35="",G35=""),0,MAX(0,IFERROR(F35+0,0)+IFERROR(G35+0,0)-IFERROR(H35+0,0))))</f>
        <v/>
      </c>
      <c r="J35" s="43" t="n"/>
      <c r="K35" s="42" t="n"/>
      <c r="L35" s="42" t="n"/>
      <c r="M35" s="42" t="n"/>
      <c r="N35" s="34">
        <f>IF(OR(O35="G",O35="D"),0,IF(AND(K35="",L35=""),0,MAX(0,IFERROR(K35+0,0)+IFERROR(L35+0,0)-IFERROR(M35+0,0))))</f>
        <v/>
      </c>
      <c r="O35" s="43" t="n"/>
      <c r="P35" s="42" t="n"/>
      <c r="Q35" s="42" t="n"/>
      <c r="R35" s="42" t="n"/>
      <c r="S35" s="34">
        <f>IF(OR(T35="G",T35="D"),0,IF(AND(P35="",Q35=""),0,MAX(0,IFERROR(P35+0,0)+IFERROR(Q35+0,0)-IFERROR(R35+0,0))))</f>
        <v/>
      </c>
      <c r="T35" s="43" t="n"/>
      <c r="U35" s="42" t="n"/>
      <c r="V35" s="42" t="n"/>
      <c r="W35" s="42" t="n"/>
      <c r="X35" s="34">
        <f>IF(OR(Y35="G",Y35="D"),0,IF(AND(U35="",V35=""),0,MAX(0,IFERROR(U35+0,0)+IFERROR(V35+0,0)-IFERROR(W35+0,0))))</f>
        <v/>
      </c>
      <c r="Y35" s="43" t="n"/>
      <c r="Z35" s="36">
        <f>IF(B35="","",IF(OR(J35="G",J35="D"),0,I35)+IF(OR(O35="G",O35="D"),0,N35)+IF(OR(T35="G",T35="D"),0,S35)+IF(OR(Y35="G",Y35="D"),0,X35))</f>
        <v/>
      </c>
      <c r="AA35" s="37">
        <f>IF(OR(B35="",Z35=0),"-",RANK.EQ(Z35,$Z$6:$Z$45,0))</f>
        <v/>
      </c>
      <c r="AB35" s="43">
        <f>IF(OR(B35="",I35=0),"-",IF(OR(J35="G",J35="D"),IF(J35="G","G","D"),COUNTIF($I$6:$I$45,"&gt;"&amp;I35)+1))</f>
        <v/>
      </c>
      <c r="AC35" s="43">
        <f>IF(OR(B35="",N35=0),"-",IF(OR(O35="G",O35="D"),IF(O35="G","G","D"),COUNTIF($N$6:$N$45,"&gt;"&amp;N35)+1))</f>
        <v/>
      </c>
      <c r="AD35" s="43">
        <f>IF(OR(B35="",S35=0),"-",IF(OR(T35="G",T35="D"),IF(T35="G","G","D"),COUNTIF($S$6:$S$45,"&gt;"&amp;S35)+1))</f>
        <v/>
      </c>
      <c r="AE35" s="43">
        <f>IF(OR(B35="",X35=0),"-",IF(OR(Y35="G",Y35="D"),IF(Y35="G","G","D"),COUNTIF($X$6:$X$45,"&gt;"&amp;X35)+1))</f>
        <v/>
      </c>
    </row>
    <row r="36">
      <c r="A36" s="29" t="n">
        <v>31</v>
      </c>
      <c r="B36" s="30" t="n"/>
      <c r="C36" s="30" t="n"/>
      <c r="D36" s="31" t="n"/>
      <c r="E36" s="32" t="n"/>
      <c r="F36" s="33" t="n"/>
      <c r="G36" s="33" t="n"/>
      <c r="H36" s="33" t="n"/>
      <c r="I36" s="34">
        <f>IF(OR(J36="G",J36="D"),0,IF(AND(F36="",G36=""),0,MAX(0,IFERROR(F36+0,0)+IFERROR(G36+0,0)-IFERROR(H36+0,0))))</f>
        <v/>
      </c>
      <c r="J36" s="35" t="n"/>
      <c r="K36" s="33" t="n"/>
      <c r="L36" s="33" t="n"/>
      <c r="M36" s="33" t="n"/>
      <c r="N36" s="34">
        <f>IF(OR(O36="G",O36="D"),0,IF(AND(K36="",L36=""),0,MAX(0,IFERROR(K36+0,0)+IFERROR(L36+0,0)-IFERROR(M36+0,0))))</f>
        <v/>
      </c>
      <c r="O36" s="35" t="n"/>
      <c r="P36" s="33" t="n"/>
      <c r="Q36" s="33" t="n"/>
      <c r="R36" s="33" t="n"/>
      <c r="S36" s="34">
        <f>IF(OR(T36="G",T36="D"),0,IF(AND(P36="",Q36=""),0,MAX(0,IFERROR(P36+0,0)+IFERROR(Q36+0,0)-IFERROR(R36+0,0))))</f>
        <v/>
      </c>
      <c r="T36" s="35" t="n"/>
      <c r="U36" s="33" t="n"/>
      <c r="V36" s="33" t="n"/>
      <c r="W36" s="33" t="n"/>
      <c r="X36" s="34">
        <f>IF(OR(Y36="G",Y36="D"),0,IF(AND(U36="",V36=""),0,MAX(0,IFERROR(U36+0,0)+IFERROR(V36+0,0)-IFERROR(W36+0,0))))</f>
        <v/>
      </c>
      <c r="Y36" s="35" t="n"/>
      <c r="Z36" s="36">
        <f>IF(B36="","",IF(OR(J36="G",J36="D"),0,I36)+IF(OR(O36="G",O36="D"),0,N36)+IF(OR(T36="G",T36="D"),0,S36)+IF(OR(Y36="G",Y36="D"),0,X36))</f>
        <v/>
      </c>
      <c r="AA36" s="37">
        <f>IF(OR(B36="",Z36=0),"-",RANK.EQ(Z36,$Z$6:$Z$45,0))</f>
        <v/>
      </c>
      <c r="AB36" s="35">
        <f>IF(OR(B36="",I36=0),"-",IF(OR(J36="G",J36="D"),IF(J36="G","G","D"),COUNTIF($I$6:$I$45,"&gt;"&amp;I36)+1))</f>
        <v/>
      </c>
      <c r="AC36" s="35">
        <f>IF(OR(B36="",N36=0),"-",IF(OR(O36="G",O36="D"),IF(O36="G","G","D"),COUNTIF($N$6:$N$45,"&gt;"&amp;N36)+1))</f>
        <v/>
      </c>
      <c r="AD36" s="35">
        <f>IF(OR(B36="",S36=0),"-",IF(OR(T36="G",T36="D"),IF(T36="G","G","D"),COUNTIF($S$6:$S$45,"&gt;"&amp;S36)+1))</f>
        <v/>
      </c>
      <c r="AE36" s="35">
        <f>IF(OR(B36="",X36=0),"-",IF(OR(Y36="G",Y36="D"),IF(Y36="G","G","D"),COUNTIF($X$6:$X$45,"&gt;"&amp;X36)+1))</f>
        <v/>
      </c>
    </row>
    <row r="37">
      <c r="A37" s="38" t="n">
        <v>32</v>
      </c>
      <c r="B37" s="39" t="n"/>
      <c r="C37" s="39" t="n"/>
      <c r="D37" s="40" t="n"/>
      <c r="E37" s="41" t="n"/>
      <c r="F37" s="42" t="n"/>
      <c r="G37" s="42" t="n"/>
      <c r="H37" s="42" t="n"/>
      <c r="I37" s="34">
        <f>IF(OR(J37="G",J37="D"),0,IF(AND(F37="",G37=""),0,MAX(0,IFERROR(F37+0,0)+IFERROR(G37+0,0)-IFERROR(H37+0,0))))</f>
        <v/>
      </c>
      <c r="J37" s="43" t="n"/>
      <c r="K37" s="42" t="n"/>
      <c r="L37" s="42" t="n"/>
      <c r="M37" s="42" t="n"/>
      <c r="N37" s="34">
        <f>IF(OR(O37="G",O37="D"),0,IF(AND(K37="",L37=""),0,MAX(0,IFERROR(K37+0,0)+IFERROR(L37+0,0)-IFERROR(M37+0,0))))</f>
        <v/>
      </c>
      <c r="O37" s="43" t="n"/>
      <c r="P37" s="42" t="n"/>
      <c r="Q37" s="42" t="n"/>
      <c r="R37" s="42" t="n"/>
      <c r="S37" s="34">
        <f>IF(OR(T37="G",T37="D"),0,IF(AND(P37="",Q37=""),0,MAX(0,IFERROR(P37+0,0)+IFERROR(Q37+0,0)-IFERROR(R37+0,0))))</f>
        <v/>
      </c>
      <c r="T37" s="43" t="n"/>
      <c r="U37" s="42" t="n"/>
      <c r="V37" s="42" t="n"/>
      <c r="W37" s="42" t="n"/>
      <c r="X37" s="34">
        <f>IF(OR(Y37="G",Y37="D"),0,IF(AND(U37="",V37=""),0,MAX(0,IFERROR(U37+0,0)+IFERROR(V37+0,0)-IFERROR(W37+0,0))))</f>
        <v/>
      </c>
      <c r="Y37" s="43" t="n"/>
      <c r="Z37" s="36">
        <f>IF(B37="","",IF(OR(J37="G",J37="D"),0,I37)+IF(OR(O37="G",O37="D"),0,N37)+IF(OR(T37="G",T37="D"),0,S37)+IF(OR(Y37="G",Y37="D"),0,X37))</f>
        <v/>
      </c>
      <c r="AA37" s="37">
        <f>IF(OR(B37="",Z37=0),"-",RANK.EQ(Z37,$Z$6:$Z$45,0))</f>
        <v/>
      </c>
      <c r="AB37" s="43">
        <f>IF(OR(B37="",I37=0),"-",IF(OR(J37="G",J37="D"),IF(J37="G","G","D"),COUNTIF($I$6:$I$45,"&gt;"&amp;I37)+1))</f>
        <v/>
      </c>
      <c r="AC37" s="43">
        <f>IF(OR(B37="",N37=0),"-",IF(OR(O37="G",O37="D"),IF(O37="G","G","D"),COUNTIF($N$6:$N$45,"&gt;"&amp;N37)+1))</f>
        <v/>
      </c>
      <c r="AD37" s="43">
        <f>IF(OR(B37="",S37=0),"-",IF(OR(T37="G",T37="D"),IF(T37="G","G","D"),COUNTIF($S$6:$S$45,"&gt;"&amp;S37)+1))</f>
        <v/>
      </c>
      <c r="AE37" s="43">
        <f>IF(OR(B37="",X37=0),"-",IF(OR(Y37="G",Y37="D"),IF(Y37="G","G","D"),COUNTIF($X$6:$X$45,"&gt;"&amp;X37)+1))</f>
        <v/>
      </c>
    </row>
    <row r="38">
      <c r="A38" s="29" t="n">
        <v>33</v>
      </c>
      <c r="B38" s="30" t="n"/>
      <c r="C38" s="30" t="n"/>
      <c r="D38" s="31" t="n"/>
      <c r="E38" s="32" t="n"/>
      <c r="F38" s="33" t="n"/>
      <c r="G38" s="33" t="n"/>
      <c r="H38" s="33" t="n"/>
      <c r="I38" s="34">
        <f>IF(OR(J38="G",J38="D"),0,IF(AND(F38="",G38=""),0,MAX(0,IFERROR(F38+0,0)+IFERROR(G38+0,0)-IFERROR(H38+0,0))))</f>
        <v/>
      </c>
      <c r="J38" s="35" t="n"/>
      <c r="K38" s="33" t="n"/>
      <c r="L38" s="33" t="n"/>
      <c r="M38" s="33" t="n"/>
      <c r="N38" s="34">
        <f>IF(OR(O38="G",O38="D"),0,IF(AND(K38="",L38=""),0,MAX(0,IFERROR(K38+0,0)+IFERROR(L38+0,0)-IFERROR(M38+0,0))))</f>
        <v/>
      </c>
      <c r="O38" s="35" t="n"/>
      <c r="P38" s="33" t="n"/>
      <c r="Q38" s="33" t="n"/>
      <c r="R38" s="33" t="n"/>
      <c r="S38" s="34">
        <f>IF(OR(T38="G",T38="D"),0,IF(AND(P38="",Q38=""),0,MAX(0,IFERROR(P38+0,0)+IFERROR(Q38+0,0)-IFERROR(R38+0,0))))</f>
        <v/>
      </c>
      <c r="T38" s="35" t="n"/>
      <c r="U38" s="33" t="n"/>
      <c r="V38" s="33" t="n"/>
      <c r="W38" s="33" t="n"/>
      <c r="X38" s="34">
        <f>IF(OR(Y38="G",Y38="D"),0,IF(AND(U38="",V38=""),0,MAX(0,IFERROR(U38+0,0)+IFERROR(V38+0,0)-IFERROR(W38+0,0))))</f>
        <v/>
      </c>
      <c r="Y38" s="35" t="n"/>
      <c r="Z38" s="36">
        <f>IF(B38="","",IF(OR(J38="G",J38="D"),0,I38)+IF(OR(O38="G",O38="D"),0,N38)+IF(OR(T38="G",T38="D"),0,S38)+IF(OR(Y38="G",Y38="D"),0,X38))</f>
        <v/>
      </c>
      <c r="AA38" s="37">
        <f>IF(OR(B38="",Z38=0),"-",RANK.EQ(Z38,$Z$6:$Z$45,0))</f>
        <v/>
      </c>
      <c r="AB38" s="35">
        <f>IF(OR(B38="",I38=0),"-",IF(OR(J38="G",J38="D"),IF(J38="G","G","D"),COUNTIF($I$6:$I$45,"&gt;"&amp;I38)+1))</f>
        <v/>
      </c>
      <c r="AC38" s="35">
        <f>IF(OR(B38="",N38=0),"-",IF(OR(O38="G",O38="D"),IF(O38="G","G","D"),COUNTIF($N$6:$N$45,"&gt;"&amp;N38)+1))</f>
        <v/>
      </c>
      <c r="AD38" s="35">
        <f>IF(OR(B38="",S38=0),"-",IF(OR(T38="G",T38="D"),IF(T38="G","G","D"),COUNTIF($S$6:$S$45,"&gt;"&amp;S38)+1))</f>
        <v/>
      </c>
      <c r="AE38" s="35">
        <f>IF(OR(B38="",X38=0),"-",IF(OR(Y38="G",Y38="D"),IF(Y38="G","G","D"),COUNTIF($X$6:$X$45,"&gt;"&amp;X38)+1))</f>
        <v/>
      </c>
    </row>
    <row r="39">
      <c r="A39" s="38" t="n">
        <v>34</v>
      </c>
      <c r="B39" s="39" t="n"/>
      <c r="C39" s="39" t="n"/>
      <c r="D39" s="40" t="n"/>
      <c r="E39" s="41" t="n"/>
      <c r="F39" s="42" t="n"/>
      <c r="G39" s="42" t="n"/>
      <c r="H39" s="42" t="n"/>
      <c r="I39" s="34">
        <f>IF(OR(J39="G",J39="D"),0,IF(AND(F39="",G39=""),0,MAX(0,IFERROR(F39+0,0)+IFERROR(G39+0,0)-IFERROR(H39+0,0))))</f>
        <v/>
      </c>
      <c r="J39" s="43" t="n"/>
      <c r="K39" s="42" t="n"/>
      <c r="L39" s="42" t="n"/>
      <c r="M39" s="42" t="n"/>
      <c r="N39" s="34">
        <f>IF(OR(O39="G",O39="D"),0,IF(AND(K39="",L39=""),0,MAX(0,IFERROR(K39+0,0)+IFERROR(L39+0,0)-IFERROR(M39+0,0))))</f>
        <v/>
      </c>
      <c r="O39" s="43" t="n"/>
      <c r="P39" s="42" t="n"/>
      <c r="Q39" s="42" t="n"/>
      <c r="R39" s="42" t="n"/>
      <c r="S39" s="34">
        <f>IF(OR(T39="G",T39="D"),0,IF(AND(P39="",Q39=""),0,MAX(0,IFERROR(P39+0,0)+IFERROR(Q39+0,0)-IFERROR(R39+0,0))))</f>
        <v/>
      </c>
      <c r="T39" s="43" t="n"/>
      <c r="U39" s="42" t="n"/>
      <c r="V39" s="42" t="n"/>
      <c r="W39" s="42" t="n"/>
      <c r="X39" s="34">
        <f>IF(OR(Y39="G",Y39="D"),0,IF(AND(U39="",V39=""),0,MAX(0,IFERROR(U39+0,0)+IFERROR(V39+0,0)-IFERROR(W39+0,0))))</f>
        <v/>
      </c>
      <c r="Y39" s="43" t="n"/>
      <c r="Z39" s="36">
        <f>IF(B39="","",IF(OR(J39="G",J39="D"),0,I39)+IF(OR(O39="G",O39="D"),0,N39)+IF(OR(T39="G",T39="D"),0,S39)+IF(OR(Y39="G",Y39="D"),0,X39))</f>
        <v/>
      </c>
      <c r="AA39" s="37">
        <f>IF(OR(B39="",Z39=0),"-",RANK.EQ(Z39,$Z$6:$Z$45,0))</f>
        <v/>
      </c>
      <c r="AB39" s="43">
        <f>IF(OR(B39="",I39=0),"-",IF(OR(J39="G",J39="D"),IF(J39="G","G","D"),COUNTIF($I$6:$I$45,"&gt;"&amp;I39)+1))</f>
        <v/>
      </c>
      <c r="AC39" s="43">
        <f>IF(OR(B39="",N39=0),"-",IF(OR(O39="G",O39="D"),IF(O39="G","G","D"),COUNTIF($N$6:$N$45,"&gt;"&amp;N39)+1))</f>
        <v/>
      </c>
      <c r="AD39" s="43">
        <f>IF(OR(B39="",S39=0),"-",IF(OR(T39="G",T39="D"),IF(T39="G","G","D"),COUNTIF($S$6:$S$45,"&gt;"&amp;S39)+1))</f>
        <v/>
      </c>
      <c r="AE39" s="43">
        <f>IF(OR(B39="",X39=0),"-",IF(OR(Y39="G",Y39="D"),IF(Y39="G","G","D"),COUNTIF($X$6:$X$45,"&gt;"&amp;X39)+1))</f>
        <v/>
      </c>
    </row>
    <row r="40">
      <c r="A40" s="29" t="n">
        <v>35</v>
      </c>
      <c r="B40" s="30" t="n"/>
      <c r="C40" s="30" t="n"/>
      <c r="D40" s="31" t="n"/>
      <c r="E40" s="32" t="n"/>
      <c r="F40" s="33" t="n"/>
      <c r="G40" s="33" t="n"/>
      <c r="H40" s="33" t="n"/>
      <c r="I40" s="34">
        <f>IF(OR(J40="G",J40="D"),0,IF(AND(F40="",G40=""),0,MAX(0,IFERROR(F40+0,0)+IFERROR(G40+0,0)-IFERROR(H40+0,0))))</f>
        <v/>
      </c>
      <c r="J40" s="35" t="n"/>
      <c r="K40" s="33" t="n"/>
      <c r="L40" s="33" t="n"/>
      <c r="M40" s="33" t="n"/>
      <c r="N40" s="34">
        <f>IF(OR(O40="G",O40="D"),0,IF(AND(K40="",L40=""),0,MAX(0,IFERROR(K40+0,0)+IFERROR(L40+0,0)-IFERROR(M40+0,0))))</f>
        <v/>
      </c>
      <c r="O40" s="35" t="n"/>
      <c r="P40" s="33" t="n"/>
      <c r="Q40" s="33" t="n"/>
      <c r="R40" s="33" t="n"/>
      <c r="S40" s="34">
        <f>IF(OR(T40="G",T40="D"),0,IF(AND(P40="",Q40=""),0,MAX(0,IFERROR(P40+0,0)+IFERROR(Q40+0,0)-IFERROR(R40+0,0))))</f>
        <v/>
      </c>
      <c r="T40" s="35" t="n"/>
      <c r="U40" s="33" t="n"/>
      <c r="V40" s="33" t="n"/>
      <c r="W40" s="33" t="n"/>
      <c r="X40" s="34">
        <f>IF(OR(Y40="G",Y40="D"),0,IF(AND(U40="",V40=""),0,MAX(0,IFERROR(U40+0,0)+IFERROR(V40+0,0)-IFERROR(W40+0,0))))</f>
        <v/>
      </c>
      <c r="Y40" s="35" t="n"/>
      <c r="Z40" s="36">
        <f>IF(B40="","",IF(OR(J40="G",J40="D"),0,I40)+IF(OR(O40="G",O40="D"),0,N40)+IF(OR(T40="G",T40="D"),0,S40)+IF(OR(Y40="G",Y40="D"),0,X40))</f>
        <v/>
      </c>
      <c r="AA40" s="37">
        <f>IF(OR(B40="",Z40=0),"-",RANK.EQ(Z40,$Z$6:$Z$45,0))</f>
        <v/>
      </c>
      <c r="AB40" s="35">
        <f>IF(OR(B40="",I40=0),"-",IF(OR(J40="G",J40="D"),IF(J40="G","G","D"),COUNTIF($I$6:$I$45,"&gt;"&amp;I40)+1))</f>
        <v/>
      </c>
      <c r="AC40" s="35">
        <f>IF(OR(B40="",N40=0),"-",IF(OR(O40="G",O40="D"),IF(O40="G","G","D"),COUNTIF($N$6:$N$45,"&gt;"&amp;N40)+1))</f>
        <v/>
      </c>
      <c r="AD40" s="35">
        <f>IF(OR(B40="",S40=0),"-",IF(OR(T40="G",T40="D"),IF(T40="G","G","D"),COUNTIF($S$6:$S$45,"&gt;"&amp;S40)+1))</f>
        <v/>
      </c>
      <c r="AE40" s="35">
        <f>IF(OR(B40="",X40=0),"-",IF(OR(Y40="G",Y40="D"),IF(Y40="G","G","D"),COUNTIF($X$6:$X$45,"&gt;"&amp;X40)+1))</f>
        <v/>
      </c>
    </row>
    <row r="41">
      <c r="A41" s="38" t="n">
        <v>36</v>
      </c>
      <c r="B41" s="39" t="n"/>
      <c r="C41" s="39" t="n"/>
      <c r="D41" s="40" t="n"/>
      <c r="E41" s="41" t="n"/>
      <c r="F41" s="42" t="n"/>
      <c r="G41" s="42" t="n"/>
      <c r="H41" s="42" t="n"/>
      <c r="I41" s="34">
        <f>IF(OR(J41="G",J41="D"),0,IF(AND(F41="",G41=""),0,MAX(0,IFERROR(F41+0,0)+IFERROR(G41+0,0)-IFERROR(H41+0,0))))</f>
        <v/>
      </c>
      <c r="J41" s="43" t="n"/>
      <c r="K41" s="42" t="n"/>
      <c r="L41" s="42" t="n"/>
      <c r="M41" s="42" t="n"/>
      <c r="N41" s="34">
        <f>IF(OR(O41="G",O41="D"),0,IF(AND(K41="",L41=""),0,MAX(0,IFERROR(K41+0,0)+IFERROR(L41+0,0)-IFERROR(M41+0,0))))</f>
        <v/>
      </c>
      <c r="O41" s="43" t="n"/>
      <c r="P41" s="42" t="n"/>
      <c r="Q41" s="42" t="n"/>
      <c r="R41" s="42" t="n"/>
      <c r="S41" s="34">
        <f>IF(OR(T41="G",T41="D"),0,IF(AND(P41="",Q41=""),0,MAX(0,IFERROR(P41+0,0)+IFERROR(Q41+0,0)-IFERROR(R41+0,0))))</f>
        <v/>
      </c>
      <c r="T41" s="43" t="n"/>
      <c r="U41" s="42" t="n"/>
      <c r="V41" s="42" t="n"/>
      <c r="W41" s="42" t="n"/>
      <c r="X41" s="34">
        <f>IF(OR(Y41="G",Y41="D"),0,IF(AND(U41="",V41=""),0,MAX(0,IFERROR(U41+0,0)+IFERROR(V41+0,0)-IFERROR(W41+0,0))))</f>
        <v/>
      </c>
      <c r="Y41" s="43" t="n"/>
      <c r="Z41" s="36">
        <f>IF(B41="","",IF(OR(J41="G",J41="D"),0,I41)+IF(OR(O41="G",O41="D"),0,N41)+IF(OR(T41="G",T41="D"),0,S41)+IF(OR(Y41="G",Y41="D"),0,X41))</f>
        <v/>
      </c>
      <c r="AA41" s="37">
        <f>IF(OR(B41="",Z41=0),"-",RANK.EQ(Z41,$Z$6:$Z$45,0))</f>
        <v/>
      </c>
      <c r="AB41" s="43">
        <f>IF(OR(B41="",I41=0),"-",IF(OR(J41="G",J41="D"),IF(J41="G","G","D"),COUNTIF($I$6:$I$45,"&gt;"&amp;I41)+1))</f>
        <v/>
      </c>
      <c r="AC41" s="43">
        <f>IF(OR(B41="",N41=0),"-",IF(OR(O41="G",O41="D"),IF(O41="G","G","D"),COUNTIF($N$6:$N$45,"&gt;"&amp;N41)+1))</f>
        <v/>
      </c>
      <c r="AD41" s="43">
        <f>IF(OR(B41="",S41=0),"-",IF(OR(T41="G",T41="D"),IF(T41="G","G","D"),COUNTIF($S$6:$S$45,"&gt;"&amp;S41)+1))</f>
        <v/>
      </c>
      <c r="AE41" s="43">
        <f>IF(OR(B41="",X41=0),"-",IF(OR(Y41="G",Y41="D"),IF(Y41="G","G","D"),COUNTIF($X$6:$X$45,"&gt;"&amp;X41)+1))</f>
        <v/>
      </c>
    </row>
    <row r="42">
      <c r="A42" s="29" t="n">
        <v>37</v>
      </c>
      <c r="B42" s="30" t="n"/>
      <c r="C42" s="30" t="n"/>
      <c r="D42" s="31" t="n"/>
      <c r="E42" s="32" t="n"/>
      <c r="F42" s="33" t="n"/>
      <c r="G42" s="33" t="n"/>
      <c r="H42" s="33" t="n"/>
      <c r="I42" s="34">
        <f>IF(OR(J42="G",J42="D"),0,IF(AND(F42="",G42=""),0,MAX(0,IFERROR(F42+0,0)+IFERROR(G42+0,0)-IFERROR(H42+0,0))))</f>
        <v/>
      </c>
      <c r="J42" s="35" t="n"/>
      <c r="K42" s="33" t="n"/>
      <c r="L42" s="33" t="n"/>
      <c r="M42" s="33" t="n"/>
      <c r="N42" s="34">
        <f>IF(OR(O42="G",O42="D"),0,IF(AND(K42="",L42=""),0,MAX(0,IFERROR(K42+0,0)+IFERROR(L42+0,0)-IFERROR(M42+0,0))))</f>
        <v/>
      </c>
      <c r="O42" s="35" t="n"/>
      <c r="P42" s="33" t="n"/>
      <c r="Q42" s="33" t="n"/>
      <c r="R42" s="33" t="n"/>
      <c r="S42" s="34">
        <f>IF(OR(T42="G",T42="D"),0,IF(AND(P42="",Q42=""),0,MAX(0,IFERROR(P42+0,0)+IFERROR(Q42+0,0)-IFERROR(R42+0,0))))</f>
        <v/>
      </c>
      <c r="T42" s="35" t="n"/>
      <c r="U42" s="33" t="n"/>
      <c r="V42" s="33" t="n"/>
      <c r="W42" s="33" t="n"/>
      <c r="X42" s="34">
        <f>IF(OR(Y42="G",Y42="D"),0,IF(AND(U42="",V42=""),0,MAX(0,IFERROR(U42+0,0)+IFERROR(V42+0,0)-IFERROR(W42+0,0))))</f>
        <v/>
      </c>
      <c r="Y42" s="35" t="n"/>
      <c r="Z42" s="36">
        <f>IF(B42="","",IF(OR(J42="G",J42="D"),0,I42)+IF(OR(O42="G",O42="D"),0,N42)+IF(OR(T42="G",T42="D"),0,S42)+IF(OR(Y42="G",Y42="D"),0,X42))</f>
        <v/>
      </c>
      <c r="AA42" s="37">
        <f>IF(OR(B42="",Z42=0),"-",RANK.EQ(Z42,$Z$6:$Z$45,0))</f>
        <v/>
      </c>
      <c r="AB42" s="35">
        <f>IF(OR(B42="",I42=0),"-",IF(OR(J42="G",J42="D"),IF(J42="G","G","D"),COUNTIF($I$6:$I$45,"&gt;"&amp;I42)+1))</f>
        <v/>
      </c>
      <c r="AC42" s="35">
        <f>IF(OR(B42="",N42=0),"-",IF(OR(O42="G",O42="D"),IF(O42="G","G","D"),COUNTIF($N$6:$N$45,"&gt;"&amp;N42)+1))</f>
        <v/>
      </c>
      <c r="AD42" s="35">
        <f>IF(OR(B42="",S42=0),"-",IF(OR(T42="G",T42="D"),IF(T42="G","G","D"),COUNTIF($S$6:$S$45,"&gt;"&amp;S42)+1))</f>
        <v/>
      </c>
      <c r="AE42" s="35">
        <f>IF(OR(B42="",X42=0),"-",IF(OR(Y42="G",Y42="D"),IF(Y42="G","G","D"),COUNTIF($X$6:$X$45,"&gt;"&amp;X42)+1))</f>
        <v/>
      </c>
    </row>
    <row r="43">
      <c r="A43" s="38" t="n">
        <v>38</v>
      </c>
      <c r="B43" s="39" t="n"/>
      <c r="C43" s="39" t="n"/>
      <c r="D43" s="40" t="n"/>
      <c r="E43" s="41" t="n"/>
      <c r="F43" s="42" t="n"/>
      <c r="G43" s="42" t="n"/>
      <c r="H43" s="42" t="n"/>
      <c r="I43" s="34">
        <f>IF(OR(J43="G",J43="D"),0,IF(AND(F43="",G43=""),0,MAX(0,IFERROR(F43+0,0)+IFERROR(G43+0,0)-IFERROR(H43+0,0))))</f>
        <v/>
      </c>
      <c r="J43" s="43" t="n"/>
      <c r="K43" s="42" t="n"/>
      <c r="L43" s="42" t="n"/>
      <c r="M43" s="42" t="n"/>
      <c r="N43" s="34">
        <f>IF(OR(O43="G",O43="D"),0,IF(AND(K43="",L43=""),0,MAX(0,IFERROR(K43+0,0)+IFERROR(L43+0,0)-IFERROR(M43+0,0))))</f>
        <v/>
      </c>
      <c r="O43" s="43" t="n"/>
      <c r="P43" s="42" t="n"/>
      <c r="Q43" s="42" t="n"/>
      <c r="R43" s="42" t="n"/>
      <c r="S43" s="34">
        <f>IF(OR(T43="G",T43="D"),0,IF(AND(P43="",Q43=""),0,MAX(0,IFERROR(P43+0,0)+IFERROR(Q43+0,0)-IFERROR(R43+0,0))))</f>
        <v/>
      </c>
      <c r="T43" s="43" t="n"/>
      <c r="U43" s="42" t="n"/>
      <c r="V43" s="42" t="n"/>
      <c r="W43" s="42" t="n"/>
      <c r="X43" s="34">
        <f>IF(OR(Y43="G",Y43="D"),0,IF(AND(U43="",V43=""),0,MAX(0,IFERROR(U43+0,0)+IFERROR(V43+0,0)-IFERROR(W43+0,0))))</f>
        <v/>
      </c>
      <c r="Y43" s="43" t="n"/>
      <c r="Z43" s="36">
        <f>IF(B43="","",IF(OR(J43="G",J43="D"),0,I43)+IF(OR(O43="G",O43="D"),0,N43)+IF(OR(T43="G",T43="D"),0,S43)+IF(OR(Y43="G",Y43="D"),0,X43))</f>
        <v/>
      </c>
      <c r="AA43" s="37">
        <f>IF(OR(B43="",Z43=0),"-",RANK.EQ(Z43,$Z$6:$Z$45,0))</f>
        <v/>
      </c>
      <c r="AB43" s="43">
        <f>IF(OR(B43="",I43=0),"-",IF(OR(J43="G",J43="D"),IF(J43="G","G","D"),COUNTIF($I$6:$I$45,"&gt;"&amp;I43)+1))</f>
        <v/>
      </c>
      <c r="AC43" s="43">
        <f>IF(OR(B43="",N43=0),"-",IF(OR(O43="G",O43="D"),IF(O43="G","G","D"),COUNTIF($N$6:$N$45,"&gt;"&amp;N43)+1))</f>
        <v/>
      </c>
      <c r="AD43" s="43">
        <f>IF(OR(B43="",S43=0),"-",IF(OR(T43="G",T43="D"),IF(T43="G","G","D"),COUNTIF($S$6:$S$45,"&gt;"&amp;S43)+1))</f>
        <v/>
      </c>
      <c r="AE43" s="43">
        <f>IF(OR(B43="",X43=0),"-",IF(OR(Y43="G",Y43="D"),IF(Y43="G","G","D"),COUNTIF($X$6:$X$45,"&gt;"&amp;X43)+1))</f>
        <v/>
      </c>
    </row>
    <row r="44">
      <c r="A44" s="29" t="n">
        <v>39</v>
      </c>
      <c r="B44" s="30" t="n"/>
      <c r="C44" s="30" t="n"/>
      <c r="D44" s="31" t="n"/>
      <c r="E44" s="32" t="n"/>
      <c r="F44" s="33" t="n"/>
      <c r="G44" s="33" t="n"/>
      <c r="H44" s="33" t="n"/>
      <c r="I44" s="34">
        <f>IF(OR(J44="G",J44="D"),0,IF(AND(F44="",G44=""),0,MAX(0,IFERROR(F44+0,0)+IFERROR(G44+0,0)-IFERROR(H44+0,0))))</f>
        <v/>
      </c>
      <c r="J44" s="35" t="n"/>
      <c r="K44" s="33" t="n"/>
      <c r="L44" s="33" t="n"/>
      <c r="M44" s="33" t="n"/>
      <c r="N44" s="34">
        <f>IF(OR(O44="G",O44="D"),0,IF(AND(K44="",L44=""),0,MAX(0,IFERROR(K44+0,0)+IFERROR(L44+0,0)-IFERROR(M44+0,0))))</f>
        <v/>
      </c>
      <c r="O44" s="35" t="n"/>
      <c r="P44" s="33" t="n"/>
      <c r="Q44" s="33" t="n"/>
      <c r="R44" s="33" t="n"/>
      <c r="S44" s="34">
        <f>IF(OR(T44="G",T44="D"),0,IF(AND(P44="",Q44=""),0,MAX(0,IFERROR(P44+0,0)+IFERROR(Q44+0,0)-IFERROR(R44+0,0))))</f>
        <v/>
      </c>
      <c r="T44" s="35" t="n"/>
      <c r="U44" s="33" t="n"/>
      <c r="V44" s="33" t="n"/>
      <c r="W44" s="33" t="n"/>
      <c r="X44" s="34">
        <f>IF(OR(Y44="G",Y44="D"),0,IF(AND(U44="",V44=""),0,MAX(0,IFERROR(U44+0,0)+IFERROR(V44+0,0)-IFERROR(W44+0,0))))</f>
        <v/>
      </c>
      <c r="Y44" s="35" t="n"/>
      <c r="Z44" s="36">
        <f>IF(B44="","",IF(OR(J44="G",J44="D"),0,I44)+IF(OR(O44="G",O44="D"),0,N44)+IF(OR(T44="G",T44="D"),0,S44)+IF(OR(Y44="G",Y44="D"),0,X44))</f>
        <v/>
      </c>
      <c r="AA44" s="37">
        <f>IF(OR(B44="",Z44=0),"-",RANK.EQ(Z44,$Z$6:$Z$45,0))</f>
        <v/>
      </c>
      <c r="AB44" s="35">
        <f>IF(OR(B44="",I44=0),"-",IF(OR(J44="G",J44="D"),IF(J44="G","G","D"),COUNTIF($I$6:$I$45,"&gt;"&amp;I44)+1))</f>
        <v/>
      </c>
      <c r="AC44" s="35">
        <f>IF(OR(B44="",N44=0),"-",IF(OR(O44="G",O44="D"),IF(O44="G","G","D"),COUNTIF($N$6:$N$45,"&gt;"&amp;N44)+1))</f>
        <v/>
      </c>
      <c r="AD44" s="35">
        <f>IF(OR(B44="",S44=0),"-",IF(OR(T44="G",T44="D"),IF(T44="G","G","D"),COUNTIF($S$6:$S$45,"&gt;"&amp;S44)+1))</f>
        <v/>
      </c>
      <c r="AE44" s="35">
        <f>IF(OR(B44="",X44=0),"-",IF(OR(Y44="G",Y44="D"),IF(Y44="G","G","D"),COUNTIF($X$6:$X$45,"&gt;"&amp;X44)+1))</f>
        <v/>
      </c>
    </row>
    <row r="45">
      <c r="A45" s="38" t="n">
        <v>40</v>
      </c>
      <c r="B45" s="39" t="n"/>
      <c r="C45" s="39" t="n"/>
      <c r="D45" s="40" t="n"/>
      <c r="E45" s="41" t="n"/>
      <c r="F45" s="42" t="n"/>
      <c r="G45" s="42" t="n"/>
      <c r="H45" s="42" t="n"/>
      <c r="I45" s="34">
        <f>IF(OR(J45="G",J45="D"),0,IF(AND(F45="",G45=""),0,MAX(0,IFERROR(F45+0,0)+IFERROR(G45+0,0)-IFERROR(H45+0,0))))</f>
        <v/>
      </c>
      <c r="J45" s="43" t="n"/>
      <c r="K45" s="42" t="n"/>
      <c r="L45" s="42" t="n"/>
      <c r="M45" s="42" t="n"/>
      <c r="N45" s="34">
        <f>IF(OR(O45="G",O45="D"),0,IF(AND(K45="",L45=""),0,MAX(0,IFERROR(K45+0,0)+IFERROR(L45+0,0)-IFERROR(M45+0,0))))</f>
        <v/>
      </c>
      <c r="O45" s="43" t="n"/>
      <c r="P45" s="42" t="n"/>
      <c r="Q45" s="42" t="n"/>
      <c r="R45" s="42" t="n"/>
      <c r="S45" s="34">
        <f>IF(OR(T45="G",T45="D"),0,IF(AND(P45="",Q45=""),0,MAX(0,IFERROR(P45+0,0)+IFERROR(Q45+0,0)-IFERROR(R45+0,0))))</f>
        <v/>
      </c>
      <c r="T45" s="43" t="n"/>
      <c r="U45" s="42" t="n"/>
      <c r="V45" s="42" t="n"/>
      <c r="W45" s="42" t="n"/>
      <c r="X45" s="34">
        <f>IF(OR(Y45="G",Y45="D"),0,IF(AND(U45="",V45=""),0,MAX(0,IFERROR(U45+0,0)+IFERROR(V45+0,0)-IFERROR(W45+0,0))))</f>
        <v/>
      </c>
      <c r="Y45" s="43" t="n"/>
      <c r="Z45" s="36">
        <f>IF(B45="","",IF(OR(J45="G",J45="D"),0,I45)+IF(OR(O45="G",O45="D"),0,N45)+IF(OR(T45="G",T45="D"),0,S45)+IF(OR(Y45="G",Y45="D"),0,X45))</f>
        <v/>
      </c>
      <c r="AA45" s="37">
        <f>IF(OR(B45="",Z45=0),"-",RANK.EQ(Z45,$Z$6:$Z$45,0))</f>
        <v/>
      </c>
      <c r="AB45" s="43">
        <f>IF(OR(B45="",I45=0),"-",IF(OR(J45="G",J45="D"),IF(J45="G","G","D"),COUNTIF($I$6:$I$45,"&gt;"&amp;I45)+1))</f>
        <v/>
      </c>
      <c r="AC45" s="43">
        <f>IF(OR(B45="",N45=0),"-",IF(OR(O45="G",O45="D"),IF(O45="G","G","D"),COUNTIF($N$6:$N$45,"&gt;"&amp;N45)+1))</f>
        <v/>
      </c>
      <c r="AD45" s="43">
        <f>IF(OR(B45="",S45=0),"-",IF(OR(T45="G",T45="D"),IF(T45="G","G","D"),COUNTIF($S$6:$S$45,"&gt;"&amp;S45)+1))</f>
        <v/>
      </c>
      <c r="AE45" s="43">
        <f>IF(OR(B45="",X45=0),"-",IF(OR(Y45="G",Y45="D"),IF(Y45="G","G","D"),COUNTIF($X$6:$X$45,"&gt;"&amp;X45)+1))</f>
        <v/>
      </c>
    </row>
    <row r="47">
      <c r="A47" s="44">
        <f>COUNTA(B6:B45)&amp;" sporcu kayıtlı"</f>
        <v/>
      </c>
    </row>
  </sheetData>
  <mergeCells count="9">
    <mergeCell ref="K3:O3"/>
    <mergeCell ref="F3:J3"/>
    <mergeCell ref="A2:AE2"/>
    <mergeCell ref="P3:T3"/>
    <mergeCell ref="AB3:AE3"/>
    <mergeCell ref="U3:Y3"/>
    <mergeCell ref="A1:AE1"/>
    <mergeCell ref="A5:AE5"/>
    <mergeCell ref="A47:E47"/>
  </mergeCells>
  <conditionalFormatting sqref="AA6:AA45">
    <cfRule type="cellIs" priority="1" operator="equal" dxfId="0">
      <formula>1</formula>
    </cfRule>
    <cfRule type="cellIs" priority="2" operator="equal" dxfId="1">
      <formula>2</formula>
    </cfRule>
    <cfRule type="cellIs" priority="3" operator="equal" dxfId="2">
      <formula>3</formula>
    </cfRule>
  </conditionalFormatting>
  <conditionalFormatting sqref="J6:J45">
    <cfRule type="cellIs" priority="4" operator="equal" dxfId="3">
      <formula>"G"</formula>
    </cfRule>
    <cfRule type="cellIs" priority="5" operator="equal" dxfId="4">
      <formula>"D"</formula>
    </cfRule>
  </conditionalFormatting>
  <conditionalFormatting sqref="O6:O45">
    <cfRule type="cellIs" priority="6" operator="equal" dxfId="3">
      <formula>"G"</formula>
    </cfRule>
    <cfRule type="cellIs" priority="7" operator="equal" dxfId="4">
      <formula>"D"</formula>
    </cfRule>
  </conditionalFormatting>
  <conditionalFormatting sqref="T6:T45">
    <cfRule type="cellIs" priority="8" operator="equal" dxfId="3">
      <formula>"G"</formula>
    </cfRule>
    <cfRule type="cellIs" priority="9" operator="equal" dxfId="4">
      <formula>"D"</formula>
    </cfRule>
  </conditionalFormatting>
  <conditionalFormatting sqref="Y6:Y45">
    <cfRule type="cellIs" priority="10" operator="equal" dxfId="3">
      <formula>"G"</formula>
    </cfRule>
    <cfRule type="cellIs" priority="11" operator="equal" dxfId="4">
      <formula>"D"</formula>
    </cfRule>
  </conditionalFormatting>
  <dataValidations count="2">
    <dataValidation sqref="E6 E7 E8 E9 E10 E11 E12 E13 E14 E15 E16 E17 E18 E19 E20 E21 E22 E23 E24 E25 E26 E27 E28 E29 E30 E31 E32 E33 E34 E35 E36 E37 E38 E39 E40 E41 E42 E43 E44 E45" showDropDown="0" showInputMessage="0" showErrorMessage="0" allowBlank="1" type="list">
      <formula1>"Bireysel,Takım"</formula1>
    </dataValidation>
    <dataValidation sqref="J6 J7 J8 J9 J10 J11 J12 J13 J14 J15 J16 J17 J18 J19 J20 J21 J22 J23 J24 J25 J26 J27 J28 J29 J30 J31 J32 J33 J34 J35 J36 J37 J38 J39 J40 J41 J42 J43 J44 J45 O6 O7 O8 O9 O10 O11 O12 O13 O14 O15 O16 O17 O18 O19 O20 O21 O22 O23 O24 O25 O26 O27 O28 O29 O30 O31 O32 O33 O34 O35 O36 O37 O38 O39 O40 O41 O42 O43 O44 O45 T6 T7 T8 T9 T10 T11 T12 T13 T14 T15 T16 T17 T18 T19 T20 T21 T22 T23 T24 T25 T26 T27 T28 T29 T30 T31 T32 T33 T34 T35 T36 T37 T38 T39 T40 T41 T42 T43 T44 T45 Y6 Y7 Y8 Y9 Y10 Y11 Y12 Y13 Y14 Y15 Y16 Y17 Y18 Y19 Y20 Y21 Y22 Y23 Y24 Y25 Y26 Y27 Y28 Y29 Y30 Y31 Y32 Y33 Y34 Y35 Y36 Y37 Y38 Y39 Y40 Y41 Y42 Y43 Y44 Y45" showDropDown="0" showInputMessage="0" showErrorMessage="0" allowBlank="1" type="list">
      <formula1>"N,G,D"</formula1>
    </dataValidation>
  </dataValidations>
  <pageMargins left="0.4" right="0.4" top="0.5" bottom="0.5" header="0.5" footer="0.5"/>
  <pageSetup orientation="landscape" fitToWidth="1"/>
</worksheet>
</file>

<file path=xl/worksheets/sheet12.xml><?xml version="1.0" encoding="utf-8"?>
<worksheet xmlns="http://schemas.openxmlformats.org/spreadsheetml/2006/main">
  <sheetPr>
    <outlinePr summaryBelow="1" summaryRight="1"/>
    <pageSetUpPr fitToPage="1"/>
  </sheetPr>
  <dimension ref="A1:AQ4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4" customWidth="1" min="3" max="3"/>
    <col width="26" customWidth="1" min="4" max="4"/>
    <col width="10" customWidth="1" min="5" max="5"/>
    <col width="6.5" customWidth="1" min="6" max="6"/>
    <col width="6.5" customWidth="1" min="7" max="7"/>
    <col width="6.5" customWidth="1" min="8" max="8"/>
    <col width="9" customWidth="1" min="9" max="9"/>
    <col width="6" customWidth="1" min="10" max="10"/>
    <col width="6.5" customWidth="1" min="11" max="11"/>
    <col width="6.5" customWidth="1" min="12" max="12"/>
    <col width="6.5" customWidth="1" min="13" max="13"/>
    <col width="9" customWidth="1" min="14" max="14"/>
    <col width="6" customWidth="1" min="15" max="15"/>
    <col width="6.5" customWidth="1" min="16" max="16"/>
    <col width="6.5" customWidth="1" min="17" max="17"/>
    <col width="6.5" customWidth="1" min="18" max="18"/>
    <col width="9" customWidth="1" min="19" max="19"/>
    <col width="6" customWidth="1" min="20" max="20"/>
    <col width="6.5" customWidth="1" min="21" max="21"/>
    <col width="6.5" customWidth="1" min="22" max="22"/>
    <col width="6.5" customWidth="1" min="23" max="23"/>
    <col width="9" customWidth="1" min="24" max="24"/>
    <col width="6" customWidth="1" min="25" max="25"/>
    <col width="6.5" customWidth="1" min="26" max="26"/>
    <col width="6.5" customWidth="1" min="27" max="27"/>
    <col width="6.5" customWidth="1" min="28" max="28"/>
    <col width="9" customWidth="1" min="29" max="29"/>
    <col width="6" customWidth="1" min="30" max="30"/>
    <col width="6.5" customWidth="1" min="31" max="31"/>
    <col width="6.5" customWidth="1" min="32" max="32"/>
    <col width="6.5" customWidth="1" min="33" max="33"/>
    <col width="9" customWidth="1" min="34" max="34"/>
    <col width="6" customWidth="1" min="35" max="35"/>
    <col width="11" customWidth="1" min="36" max="36"/>
    <col width="9" customWidth="1" min="37" max="37"/>
    <col width="7" customWidth="1" min="38" max="38"/>
    <col width="7" customWidth="1" min="39" max="39"/>
    <col width="7" customWidth="1" min="40" max="40"/>
    <col width="7" customWidth="1" min="41" max="41"/>
    <col width="7" customWidth="1" min="42" max="42"/>
    <col width="7" customWidth="1" min="43" max="43"/>
  </cols>
  <sheetData>
    <row r="1" ht="32" customHeight="1">
      <c r="A1" s="45" t="inlineStr">
        <is>
          <t>GENÇ ERKEKLER</t>
        </is>
      </c>
    </row>
    <row r="2" ht="15" customHeight="1">
      <c r="A2" s="23">
        <f>'YARIŞMA BİLGİLERİ'!C3&amp;"  —  "&amp;'YARIŞMA BİLGİLERİ'!C4&amp;"  |  "&amp;'YARIŞMA BİLGİLERİ'!C5</f>
        <v/>
      </c>
    </row>
    <row r="3" ht="22" customHeight="1">
      <c r="A3" s="46" t="n"/>
      <c r="B3" s="46" t="n"/>
      <c r="C3" s="46" t="n"/>
      <c r="D3" s="46" t="n"/>
      <c r="E3" s="46" t="n"/>
      <c r="F3" s="47" t="inlineStr">
        <is>
          <t>YER (FX)</t>
        </is>
      </c>
      <c r="G3" s="46" t="n"/>
      <c r="H3" s="46" t="n"/>
      <c r="I3" s="46" t="n"/>
      <c r="J3" s="46" t="n"/>
      <c r="K3" s="47" t="inlineStr">
        <is>
          <t>KULPLU BEYGIR (PH)</t>
        </is>
      </c>
      <c r="L3" s="46" t="n"/>
      <c r="M3" s="46" t="n"/>
      <c r="N3" s="46" t="n"/>
      <c r="O3" s="46" t="n"/>
      <c r="P3" s="47" t="inlineStr">
        <is>
          <t>HALKA (SR)</t>
        </is>
      </c>
      <c r="Q3" s="46" t="n"/>
      <c r="R3" s="46" t="n"/>
      <c r="S3" s="46" t="n"/>
      <c r="T3" s="46" t="n"/>
      <c r="U3" s="47" t="inlineStr">
        <is>
          <t>ATLAMA (VT)</t>
        </is>
      </c>
      <c r="V3" s="46" t="n"/>
      <c r="W3" s="46" t="n"/>
      <c r="X3" s="46" t="n"/>
      <c r="Y3" s="46" t="n"/>
      <c r="Z3" s="47" t="inlineStr">
        <is>
          <t>PARALEL (PB)</t>
        </is>
      </c>
      <c r="AA3" s="46" t="n"/>
      <c r="AB3" s="46" t="n"/>
      <c r="AC3" s="46" t="n"/>
      <c r="AD3" s="46" t="n"/>
      <c r="AE3" s="47" t="inlineStr">
        <is>
          <t>BARFIKS (HB)</t>
        </is>
      </c>
      <c r="AF3" s="46" t="n"/>
      <c r="AG3" s="46" t="n"/>
      <c r="AH3" s="46" t="n"/>
      <c r="AI3" s="46" t="n"/>
      <c r="AJ3" s="46" t="n"/>
      <c r="AK3" s="46" t="n"/>
      <c r="AL3" s="48" t="inlineStr">
        <is>
          <t>ALET SIRALARI  (Eleme Seçimi için)</t>
        </is>
      </c>
      <c r="AM3" s="46" t="n"/>
      <c r="AN3" s="46" t="n"/>
      <c r="AO3" s="46" t="n"/>
      <c r="AP3" s="46" t="n"/>
      <c r="AQ3" s="46" t="n"/>
    </row>
    <row r="4" ht="30" customHeight="1">
      <c r="A4" s="27" t="inlineStr">
        <is>
          <t>No</t>
        </is>
      </c>
      <c r="B4" s="27" t="inlineStr">
        <is>
          <t>Ad</t>
        </is>
      </c>
      <c r="C4" s="27" t="inlineStr">
        <is>
          <t>Soyad</t>
        </is>
      </c>
      <c r="D4" s="27" t="inlineStr">
        <is>
          <t>Okul / Kulüp</t>
        </is>
      </c>
      <c r="E4" s="27" t="inlineStr">
        <is>
          <t>Tür</t>
        </is>
      </c>
      <c r="F4" s="27" t="inlineStr">
        <is>
          <t>D</t>
        </is>
      </c>
      <c r="G4" s="27" t="inlineStr">
        <is>
          <t>E</t>
        </is>
      </c>
      <c r="H4" s="27" t="inlineStr">
        <is>
          <t>ND</t>
        </is>
      </c>
      <c r="I4" s="27" t="inlineStr">
        <is>
          <t>Final</t>
        </is>
      </c>
      <c r="J4" s="27" t="inlineStr">
        <is>
          <t>Dur</t>
        </is>
      </c>
      <c r="K4" s="27" t="inlineStr">
        <is>
          <t>D</t>
        </is>
      </c>
      <c r="L4" s="27" t="inlineStr">
        <is>
          <t>E</t>
        </is>
      </c>
      <c r="M4" s="27" t="inlineStr">
        <is>
          <t>ND</t>
        </is>
      </c>
      <c r="N4" s="27" t="inlineStr">
        <is>
          <t>Final</t>
        </is>
      </c>
      <c r="O4" s="27" t="inlineStr">
        <is>
          <t>Dur</t>
        </is>
      </c>
      <c r="P4" s="27" t="inlineStr">
        <is>
          <t>D</t>
        </is>
      </c>
      <c r="Q4" s="27" t="inlineStr">
        <is>
          <t>E</t>
        </is>
      </c>
      <c r="R4" s="27" t="inlineStr">
        <is>
          <t>ND</t>
        </is>
      </c>
      <c r="S4" s="27" t="inlineStr">
        <is>
          <t>Final</t>
        </is>
      </c>
      <c r="T4" s="27" t="inlineStr">
        <is>
          <t>Dur</t>
        </is>
      </c>
      <c r="U4" s="27" t="inlineStr">
        <is>
          <t>D</t>
        </is>
      </c>
      <c r="V4" s="27" t="inlineStr">
        <is>
          <t>E</t>
        </is>
      </c>
      <c r="W4" s="27" t="inlineStr">
        <is>
          <t>ND</t>
        </is>
      </c>
      <c r="X4" s="27" t="inlineStr">
        <is>
          <t>Final</t>
        </is>
      </c>
      <c r="Y4" s="27" t="inlineStr">
        <is>
          <t>Dur</t>
        </is>
      </c>
      <c r="Z4" s="27" t="inlineStr">
        <is>
          <t>D</t>
        </is>
      </c>
      <c r="AA4" s="27" t="inlineStr">
        <is>
          <t>E</t>
        </is>
      </c>
      <c r="AB4" s="27" t="inlineStr">
        <is>
          <t>ND</t>
        </is>
      </c>
      <c r="AC4" s="27" t="inlineStr">
        <is>
          <t>Final</t>
        </is>
      </c>
      <c r="AD4" s="27" t="inlineStr">
        <is>
          <t>Dur</t>
        </is>
      </c>
      <c r="AE4" s="27" t="inlineStr">
        <is>
          <t>D</t>
        </is>
      </c>
      <c r="AF4" s="27" t="inlineStr">
        <is>
          <t>E</t>
        </is>
      </c>
      <c r="AG4" s="27" t="inlineStr">
        <is>
          <t>ND</t>
        </is>
      </c>
      <c r="AH4" s="27" t="inlineStr">
        <is>
          <t>Final</t>
        </is>
      </c>
      <c r="AI4" s="27" t="inlineStr">
        <is>
          <t>Dur</t>
        </is>
      </c>
      <c r="AJ4" s="27" t="inlineStr">
        <is>
          <t>TOPLAM</t>
        </is>
      </c>
      <c r="AK4" s="27" t="inlineStr">
        <is>
          <t>SIRALAMA</t>
        </is>
      </c>
      <c r="AL4" s="27" t="inlineStr">
        <is>
          <t>FX</t>
        </is>
      </c>
      <c r="AM4" s="27" t="inlineStr">
        <is>
          <t>PH</t>
        </is>
      </c>
      <c r="AN4" s="27" t="inlineStr">
        <is>
          <t>SR</t>
        </is>
      </c>
      <c r="AO4" s="27" t="inlineStr">
        <is>
          <t>VT</t>
        </is>
      </c>
      <c r="AP4" s="27" t="inlineStr">
        <is>
          <t>PB</t>
        </is>
      </c>
      <c r="AQ4" s="27" t="inlineStr">
        <is>
          <t>HB</t>
        </is>
      </c>
    </row>
    <row r="5" ht="13" customHeight="1">
      <c r="A5" s="28" t="inlineStr">
        <is>
          <t>Final = MAX(0, D+E−ND)  |  Dur: N=Normal · G=Gecersiz · D=Yarışmadı/DNS  |  Mavi sütun = formül (elle girme)  |  Yeşil = Toplam  |  Sarı = Sıralama</t>
        </is>
      </c>
    </row>
    <row r="6">
      <c r="A6" s="29" t="n">
        <v>1</v>
      </c>
      <c r="B6" s="30" t="n"/>
      <c r="C6" s="30" t="n"/>
      <c r="D6" s="31" t="n"/>
      <c r="E6" s="32" t="n"/>
      <c r="F6" s="33" t="n"/>
      <c r="G6" s="33" t="n"/>
      <c r="H6" s="33" t="n"/>
      <c r="I6" s="34">
        <f>IF(OR(J6="G",J6="D"),0,IF(AND(F6="",G6=""),0,MAX(0,IFERROR(F6+0,0)+IFERROR(G6+0,0)-IFERROR(H6+0,0))))</f>
        <v/>
      </c>
      <c r="J6" s="35" t="n"/>
      <c r="K6" s="33" t="n"/>
      <c r="L6" s="33" t="n"/>
      <c r="M6" s="33" t="n"/>
      <c r="N6" s="34">
        <f>IF(OR(O6="G",O6="D"),0,IF(AND(K6="",L6=""),0,MAX(0,IFERROR(K6+0,0)+IFERROR(L6+0,0)-IFERROR(M6+0,0))))</f>
        <v/>
      </c>
      <c r="O6" s="35" t="n"/>
      <c r="P6" s="33" t="n"/>
      <c r="Q6" s="33" t="n"/>
      <c r="R6" s="33" t="n"/>
      <c r="S6" s="34">
        <f>IF(OR(T6="G",T6="D"),0,IF(AND(P6="",Q6=""),0,MAX(0,IFERROR(P6+0,0)+IFERROR(Q6+0,0)-IFERROR(R6+0,0))))</f>
        <v/>
      </c>
      <c r="T6" s="35" t="n"/>
      <c r="U6" s="33" t="n"/>
      <c r="V6" s="33" t="n"/>
      <c r="W6" s="33" t="n"/>
      <c r="X6" s="34">
        <f>IF(OR(Y6="G",Y6="D"),0,IF(AND(U6="",V6=""),0,MAX(0,IFERROR(U6+0,0)+IFERROR(V6+0,0)-IFERROR(W6+0,0))))</f>
        <v/>
      </c>
      <c r="Y6" s="35" t="n"/>
      <c r="Z6" s="33" t="n"/>
      <c r="AA6" s="33" t="n"/>
      <c r="AB6" s="33" t="n"/>
      <c r="AC6" s="34">
        <f>IF(OR(AD6="G",AD6="D"),0,IF(AND(Z6="",AA6=""),0,MAX(0,IFERROR(Z6+0,0)+IFERROR(AA6+0,0)-IFERROR(AB6+0,0))))</f>
        <v/>
      </c>
      <c r="AD6" s="35" t="n"/>
      <c r="AE6" s="33" t="n"/>
      <c r="AF6" s="33" t="n"/>
      <c r="AG6" s="33" t="n"/>
      <c r="AH6" s="34">
        <f>IF(OR(AI6="G",AI6="D"),0,IF(AND(AE6="",AF6=""),0,MAX(0,IFERROR(AE6+0,0)+IFERROR(AF6+0,0)-IFERROR(AG6+0,0))))</f>
        <v/>
      </c>
      <c r="AI6" s="35" t="n"/>
      <c r="AJ6" s="36">
        <f>IF(B6="","",IF(OR(J6="G",J6="D"),0,I6)+IF(OR(O6="G",O6="D"),0,N6)+IF(OR(T6="G",T6="D"),0,S6)+IF(OR(Y6="G",Y6="D"),0,X6)+IF(OR(AD6="G",AD6="D"),0,AC6)+IF(OR(AI6="G",AI6="D"),0,AH6))</f>
        <v/>
      </c>
      <c r="AK6" s="37">
        <f>IF(OR(B6="",AJ6=0),"-",RANK.EQ(AJ6,$AJ$6:$AJ$45,0))</f>
        <v/>
      </c>
      <c r="AL6" s="35">
        <f>IF(OR(B6="",I6=0),"-",IF(OR(J6="G",J6="D"),IF(J6="G","G","D"),COUNTIF($I$6:$I$45,"&gt;"&amp;I6)+1))</f>
        <v/>
      </c>
      <c r="AM6" s="35">
        <f>IF(OR(B6="",N6=0),"-",IF(OR(O6="G",O6="D"),IF(O6="G","G","D"),COUNTIF($N$6:$N$45,"&gt;"&amp;N6)+1))</f>
        <v/>
      </c>
      <c r="AN6" s="35">
        <f>IF(OR(B6="",S6=0),"-",IF(OR(T6="G",T6="D"),IF(T6="G","G","D"),COUNTIF($S$6:$S$45,"&gt;"&amp;S6)+1))</f>
        <v/>
      </c>
      <c r="AO6" s="35">
        <f>IF(OR(B6="",X6=0),"-",IF(OR(Y6="G",Y6="D"),IF(Y6="G","G","D"),COUNTIF($X$6:$X$45,"&gt;"&amp;X6)+1))</f>
        <v/>
      </c>
      <c r="AP6" s="35">
        <f>IF(OR(B6="",AC6=0),"-",IF(OR(AD6="G",AD6="D"),IF(AD6="G","G","D"),COUNTIF($AC$6:$AC$45,"&gt;"&amp;AC6)+1))</f>
        <v/>
      </c>
      <c r="AQ6" s="35">
        <f>IF(OR(B6="",AH6=0),"-",IF(OR(AI6="G",AI6="D"),IF(AI6="G","G","D"),COUNTIF($AH$6:$AH$45,"&gt;"&amp;AH6)+1))</f>
        <v/>
      </c>
    </row>
    <row r="7">
      <c r="A7" s="38" t="n">
        <v>2</v>
      </c>
      <c r="B7" s="39" t="n"/>
      <c r="C7" s="39" t="n"/>
      <c r="D7" s="40" t="n"/>
      <c r="E7" s="41" t="n"/>
      <c r="F7" s="42" t="n"/>
      <c r="G7" s="42" t="n"/>
      <c r="H7" s="42" t="n"/>
      <c r="I7" s="34">
        <f>IF(OR(J7="G",J7="D"),0,IF(AND(F7="",G7=""),0,MAX(0,IFERROR(F7+0,0)+IFERROR(G7+0,0)-IFERROR(H7+0,0))))</f>
        <v/>
      </c>
      <c r="J7" s="43" t="n"/>
      <c r="K7" s="42" t="n"/>
      <c r="L7" s="42" t="n"/>
      <c r="M7" s="42" t="n"/>
      <c r="N7" s="34">
        <f>IF(OR(O7="G",O7="D"),0,IF(AND(K7="",L7=""),0,MAX(0,IFERROR(K7+0,0)+IFERROR(L7+0,0)-IFERROR(M7+0,0))))</f>
        <v/>
      </c>
      <c r="O7" s="43" t="n"/>
      <c r="P7" s="42" t="n"/>
      <c r="Q7" s="42" t="n"/>
      <c r="R7" s="42" t="n"/>
      <c r="S7" s="34">
        <f>IF(OR(T7="G",T7="D"),0,IF(AND(P7="",Q7=""),0,MAX(0,IFERROR(P7+0,0)+IFERROR(Q7+0,0)-IFERROR(R7+0,0))))</f>
        <v/>
      </c>
      <c r="T7" s="43" t="n"/>
      <c r="U7" s="42" t="n"/>
      <c r="V7" s="42" t="n"/>
      <c r="W7" s="42" t="n"/>
      <c r="X7" s="34">
        <f>IF(OR(Y7="G",Y7="D"),0,IF(AND(U7="",V7=""),0,MAX(0,IFERROR(U7+0,0)+IFERROR(V7+0,0)-IFERROR(W7+0,0))))</f>
        <v/>
      </c>
      <c r="Y7" s="43" t="n"/>
      <c r="Z7" s="42" t="n"/>
      <c r="AA7" s="42" t="n"/>
      <c r="AB7" s="42" t="n"/>
      <c r="AC7" s="34">
        <f>IF(OR(AD7="G",AD7="D"),0,IF(AND(Z7="",AA7=""),0,MAX(0,IFERROR(Z7+0,0)+IFERROR(AA7+0,0)-IFERROR(AB7+0,0))))</f>
        <v/>
      </c>
      <c r="AD7" s="43" t="n"/>
      <c r="AE7" s="42" t="n"/>
      <c r="AF7" s="42" t="n"/>
      <c r="AG7" s="42" t="n"/>
      <c r="AH7" s="34">
        <f>IF(OR(AI7="G",AI7="D"),0,IF(AND(AE7="",AF7=""),0,MAX(0,IFERROR(AE7+0,0)+IFERROR(AF7+0,0)-IFERROR(AG7+0,0))))</f>
        <v/>
      </c>
      <c r="AI7" s="43" t="n"/>
      <c r="AJ7" s="36">
        <f>IF(B7="","",IF(OR(J7="G",J7="D"),0,I7)+IF(OR(O7="G",O7="D"),0,N7)+IF(OR(T7="G",T7="D"),0,S7)+IF(OR(Y7="G",Y7="D"),0,X7)+IF(OR(AD7="G",AD7="D"),0,AC7)+IF(OR(AI7="G",AI7="D"),0,AH7))</f>
        <v/>
      </c>
      <c r="AK7" s="37">
        <f>IF(OR(B7="",AJ7=0),"-",RANK.EQ(AJ7,$AJ$6:$AJ$45,0))</f>
        <v/>
      </c>
      <c r="AL7" s="43">
        <f>IF(OR(B7="",I7=0),"-",IF(OR(J7="G",J7="D"),IF(J7="G","G","D"),COUNTIF($I$6:$I$45,"&gt;"&amp;I7)+1))</f>
        <v/>
      </c>
      <c r="AM7" s="43">
        <f>IF(OR(B7="",N7=0),"-",IF(OR(O7="G",O7="D"),IF(O7="G","G","D"),COUNTIF($N$6:$N$45,"&gt;"&amp;N7)+1))</f>
        <v/>
      </c>
      <c r="AN7" s="43">
        <f>IF(OR(B7="",S7=0),"-",IF(OR(T7="G",T7="D"),IF(T7="G","G","D"),COUNTIF($S$6:$S$45,"&gt;"&amp;S7)+1))</f>
        <v/>
      </c>
      <c r="AO7" s="43">
        <f>IF(OR(B7="",X7=0),"-",IF(OR(Y7="G",Y7="D"),IF(Y7="G","G","D"),COUNTIF($X$6:$X$45,"&gt;"&amp;X7)+1))</f>
        <v/>
      </c>
      <c r="AP7" s="43">
        <f>IF(OR(B7="",AC7=0),"-",IF(OR(AD7="G",AD7="D"),IF(AD7="G","G","D"),COUNTIF($AC$6:$AC$45,"&gt;"&amp;AC7)+1))</f>
        <v/>
      </c>
      <c r="AQ7" s="43">
        <f>IF(OR(B7="",AH7=0),"-",IF(OR(AI7="G",AI7="D"),IF(AI7="G","G","D"),COUNTIF($AH$6:$AH$45,"&gt;"&amp;AH7)+1))</f>
        <v/>
      </c>
    </row>
    <row r="8">
      <c r="A8" s="29" t="n">
        <v>3</v>
      </c>
      <c r="B8" s="30" t="n"/>
      <c r="C8" s="30" t="n"/>
      <c r="D8" s="31" t="n"/>
      <c r="E8" s="32" t="n"/>
      <c r="F8" s="33" t="n"/>
      <c r="G8" s="33" t="n"/>
      <c r="H8" s="33" t="n"/>
      <c r="I8" s="34">
        <f>IF(OR(J8="G",J8="D"),0,IF(AND(F8="",G8=""),0,MAX(0,IFERROR(F8+0,0)+IFERROR(G8+0,0)-IFERROR(H8+0,0))))</f>
        <v/>
      </c>
      <c r="J8" s="35" t="n"/>
      <c r="K8" s="33" t="n"/>
      <c r="L8" s="33" t="n"/>
      <c r="M8" s="33" t="n"/>
      <c r="N8" s="34">
        <f>IF(OR(O8="G",O8="D"),0,IF(AND(K8="",L8=""),0,MAX(0,IFERROR(K8+0,0)+IFERROR(L8+0,0)-IFERROR(M8+0,0))))</f>
        <v/>
      </c>
      <c r="O8" s="35" t="n"/>
      <c r="P8" s="33" t="n"/>
      <c r="Q8" s="33" t="n"/>
      <c r="R8" s="33" t="n"/>
      <c r="S8" s="34">
        <f>IF(OR(T8="G",T8="D"),0,IF(AND(P8="",Q8=""),0,MAX(0,IFERROR(P8+0,0)+IFERROR(Q8+0,0)-IFERROR(R8+0,0))))</f>
        <v/>
      </c>
      <c r="T8" s="35" t="n"/>
      <c r="U8" s="33" t="n"/>
      <c r="V8" s="33" t="n"/>
      <c r="W8" s="33" t="n"/>
      <c r="X8" s="34">
        <f>IF(OR(Y8="G",Y8="D"),0,IF(AND(U8="",V8=""),0,MAX(0,IFERROR(U8+0,0)+IFERROR(V8+0,0)-IFERROR(W8+0,0))))</f>
        <v/>
      </c>
      <c r="Y8" s="35" t="n"/>
      <c r="Z8" s="33" t="n"/>
      <c r="AA8" s="33" t="n"/>
      <c r="AB8" s="33" t="n"/>
      <c r="AC8" s="34">
        <f>IF(OR(AD8="G",AD8="D"),0,IF(AND(Z8="",AA8=""),0,MAX(0,IFERROR(Z8+0,0)+IFERROR(AA8+0,0)-IFERROR(AB8+0,0))))</f>
        <v/>
      </c>
      <c r="AD8" s="35" t="n"/>
      <c r="AE8" s="33" t="n"/>
      <c r="AF8" s="33" t="n"/>
      <c r="AG8" s="33" t="n"/>
      <c r="AH8" s="34">
        <f>IF(OR(AI8="G",AI8="D"),0,IF(AND(AE8="",AF8=""),0,MAX(0,IFERROR(AE8+0,0)+IFERROR(AF8+0,0)-IFERROR(AG8+0,0))))</f>
        <v/>
      </c>
      <c r="AI8" s="35" t="n"/>
      <c r="AJ8" s="36">
        <f>IF(B8="","",IF(OR(J8="G",J8="D"),0,I8)+IF(OR(O8="G",O8="D"),0,N8)+IF(OR(T8="G",T8="D"),0,S8)+IF(OR(Y8="G",Y8="D"),0,X8)+IF(OR(AD8="G",AD8="D"),0,AC8)+IF(OR(AI8="G",AI8="D"),0,AH8))</f>
        <v/>
      </c>
      <c r="AK8" s="37">
        <f>IF(OR(B8="",AJ8=0),"-",RANK.EQ(AJ8,$AJ$6:$AJ$45,0))</f>
        <v/>
      </c>
      <c r="AL8" s="35">
        <f>IF(OR(B8="",I8=0),"-",IF(OR(J8="G",J8="D"),IF(J8="G","G","D"),COUNTIF($I$6:$I$45,"&gt;"&amp;I8)+1))</f>
        <v/>
      </c>
      <c r="AM8" s="35">
        <f>IF(OR(B8="",N8=0),"-",IF(OR(O8="G",O8="D"),IF(O8="G","G","D"),COUNTIF($N$6:$N$45,"&gt;"&amp;N8)+1))</f>
        <v/>
      </c>
      <c r="AN8" s="35">
        <f>IF(OR(B8="",S8=0),"-",IF(OR(T8="G",T8="D"),IF(T8="G","G","D"),COUNTIF($S$6:$S$45,"&gt;"&amp;S8)+1))</f>
        <v/>
      </c>
      <c r="AO8" s="35">
        <f>IF(OR(B8="",X8=0),"-",IF(OR(Y8="G",Y8="D"),IF(Y8="G","G","D"),COUNTIF($X$6:$X$45,"&gt;"&amp;X8)+1))</f>
        <v/>
      </c>
      <c r="AP8" s="35">
        <f>IF(OR(B8="",AC8=0),"-",IF(OR(AD8="G",AD8="D"),IF(AD8="G","G","D"),COUNTIF($AC$6:$AC$45,"&gt;"&amp;AC8)+1))</f>
        <v/>
      </c>
      <c r="AQ8" s="35">
        <f>IF(OR(B8="",AH8=0),"-",IF(OR(AI8="G",AI8="D"),IF(AI8="G","G","D"),COUNTIF($AH$6:$AH$45,"&gt;"&amp;AH8)+1))</f>
        <v/>
      </c>
    </row>
    <row r="9">
      <c r="A9" s="38" t="n">
        <v>4</v>
      </c>
      <c r="B9" s="39" t="n"/>
      <c r="C9" s="39" t="n"/>
      <c r="D9" s="40" t="n"/>
      <c r="E9" s="41" t="n"/>
      <c r="F9" s="42" t="n"/>
      <c r="G9" s="42" t="n"/>
      <c r="H9" s="42" t="n"/>
      <c r="I9" s="34">
        <f>IF(OR(J9="G",J9="D"),0,IF(AND(F9="",G9=""),0,MAX(0,IFERROR(F9+0,0)+IFERROR(G9+0,0)-IFERROR(H9+0,0))))</f>
        <v/>
      </c>
      <c r="J9" s="43" t="n"/>
      <c r="K9" s="42" t="n"/>
      <c r="L9" s="42" t="n"/>
      <c r="M9" s="42" t="n"/>
      <c r="N9" s="34">
        <f>IF(OR(O9="G",O9="D"),0,IF(AND(K9="",L9=""),0,MAX(0,IFERROR(K9+0,0)+IFERROR(L9+0,0)-IFERROR(M9+0,0))))</f>
        <v/>
      </c>
      <c r="O9" s="43" t="n"/>
      <c r="P9" s="42" t="n"/>
      <c r="Q9" s="42" t="n"/>
      <c r="R9" s="42" t="n"/>
      <c r="S9" s="34">
        <f>IF(OR(T9="G",T9="D"),0,IF(AND(P9="",Q9=""),0,MAX(0,IFERROR(P9+0,0)+IFERROR(Q9+0,0)-IFERROR(R9+0,0))))</f>
        <v/>
      </c>
      <c r="T9" s="43" t="n"/>
      <c r="U9" s="42" t="n"/>
      <c r="V9" s="42" t="n"/>
      <c r="W9" s="42" t="n"/>
      <c r="X9" s="34">
        <f>IF(OR(Y9="G",Y9="D"),0,IF(AND(U9="",V9=""),0,MAX(0,IFERROR(U9+0,0)+IFERROR(V9+0,0)-IFERROR(W9+0,0))))</f>
        <v/>
      </c>
      <c r="Y9" s="43" t="n"/>
      <c r="Z9" s="42" t="n"/>
      <c r="AA9" s="42" t="n"/>
      <c r="AB9" s="42" t="n"/>
      <c r="AC9" s="34">
        <f>IF(OR(AD9="G",AD9="D"),0,IF(AND(Z9="",AA9=""),0,MAX(0,IFERROR(Z9+0,0)+IFERROR(AA9+0,0)-IFERROR(AB9+0,0))))</f>
        <v/>
      </c>
      <c r="AD9" s="43" t="n"/>
      <c r="AE9" s="42" t="n"/>
      <c r="AF9" s="42" t="n"/>
      <c r="AG9" s="42" t="n"/>
      <c r="AH9" s="34">
        <f>IF(OR(AI9="G",AI9="D"),0,IF(AND(AE9="",AF9=""),0,MAX(0,IFERROR(AE9+0,0)+IFERROR(AF9+0,0)-IFERROR(AG9+0,0))))</f>
        <v/>
      </c>
      <c r="AI9" s="43" t="n"/>
      <c r="AJ9" s="36">
        <f>IF(B9="","",IF(OR(J9="G",J9="D"),0,I9)+IF(OR(O9="G",O9="D"),0,N9)+IF(OR(T9="G",T9="D"),0,S9)+IF(OR(Y9="G",Y9="D"),0,X9)+IF(OR(AD9="G",AD9="D"),0,AC9)+IF(OR(AI9="G",AI9="D"),0,AH9))</f>
        <v/>
      </c>
      <c r="AK9" s="37">
        <f>IF(OR(B9="",AJ9=0),"-",RANK.EQ(AJ9,$AJ$6:$AJ$45,0))</f>
        <v/>
      </c>
      <c r="AL9" s="43">
        <f>IF(OR(B9="",I9=0),"-",IF(OR(J9="G",J9="D"),IF(J9="G","G","D"),COUNTIF($I$6:$I$45,"&gt;"&amp;I9)+1))</f>
        <v/>
      </c>
      <c r="AM9" s="43">
        <f>IF(OR(B9="",N9=0),"-",IF(OR(O9="G",O9="D"),IF(O9="G","G","D"),COUNTIF($N$6:$N$45,"&gt;"&amp;N9)+1))</f>
        <v/>
      </c>
      <c r="AN9" s="43">
        <f>IF(OR(B9="",S9=0),"-",IF(OR(T9="G",T9="D"),IF(T9="G","G","D"),COUNTIF($S$6:$S$45,"&gt;"&amp;S9)+1))</f>
        <v/>
      </c>
      <c r="AO9" s="43">
        <f>IF(OR(B9="",X9=0),"-",IF(OR(Y9="G",Y9="D"),IF(Y9="G","G","D"),COUNTIF($X$6:$X$45,"&gt;"&amp;X9)+1))</f>
        <v/>
      </c>
      <c r="AP9" s="43">
        <f>IF(OR(B9="",AC9=0),"-",IF(OR(AD9="G",AD9="D"),IF(AD9="G","G","D"),COUNTIF($AC$6:$AC$45,"&gt;"&amp;AC9)+1))</f>
        <v/>
      </c>
      <c r="AQ9" s="43">
        <f>IF(OR(B9="",AH9=0),"-",IF(OR(AI9="G",AI9="D"),IF(AI9="G","G","D"),COUNTIF($AH$6:$AH$45,"&gt;"&amp;AH9)+1))</f>
        <v/>
      </c>
    </row>
    <row r="10">
      <c r="A10" s="29" t="n">
        <v>5</v>
      </c>
      <c r="B10" s="30" t="n"/>
      <c r="C10" s="30" t="n"/>
      <c r="D10" s="31" t="n"/>
      <c r="E10" s="32" t="n"/>
      <c r="F10" s="33" t="n"/>
      <c r="G10" s="33" t="n"/>
      <c r="H10" s="33" t="n"/>
      <c r="I10" s="34">
        <f>IF(OR(J10="G",J10="D"),0,IF(AND(F10="",G10=""),0,MAX(0,IFERROR(F10+0,0)+IFERROR(G10+0,0)-IFERROR(H10+0,0))))</f>
        <v/>
      </c>
      <c r="J10" s="35" t="n"/>
      <c r="K10" s="33" t="n"/>
      <c r="L10" s="33" t="n"/>
      <c r="M10" s="33" t="n"/>
      <c r="N10" s="34">
        <f>IF(OR(O10="G",O10="D"),0,IF(AND(K10="",L10=""),0,MAX(0,IFERROR(K10+0,0)+IFERROR(L10+0,0)-IFERROR(M10+0,0))))</f>
        <v/>
      </c>
      <c r="O10" s="35" t="n"/>
      <c r="P10" s="33" t="n"/>
      <c r="Q10" s="33" t="n"/>
      <c r="R10" s="33" t="n"/>
      <c r="S10" s="34">
        <f>IF(OR(T10="G",T10="D"),0,IF(AND(P10="",Q10=""),0,MAX(0,IFERROR(P10+0,0)+IFERROR(Q10+0,0)-IFERROR(R10+0,0))))</f>
        <v/>
      </c>
      <c r="T10" s="35" t="n"/>
      <c r="U10" s="33" t="n"/>
      <c r="V10" s="33" t="n"/>
      <c r="W10" s="33" t="n"/>
      <c r="X10" s="34">
        <f>IF(OR(Y10="G",Y10="D"),0,IF(AND(U10="",V10=""),0,MAX(0,IFERROR(U10+0,0)+IFERROR(V10+0,0)-IFERROR(W10+0,0))))</f>
        <v/>
      </c>
      <c r="Y10" s="35" t="n"/>
      <c r="Z10" s="33" t="n"/>
      <c r="AA10" s="33" t="n"/>
      <c r="AB10" s="33" t="n"/>
      <c r="AC10" s="34">
        <f>IF(OR(AD10="G",AD10="D"),0,IF(AND(Z10="",AA10=""),0,MAX(0,IFERROR(Z10+0,0)+IFERROR(AA10+0,0)-IFERROR(AB10+0,0))))</f>
        <v/>
      </c>
      <c r="AD10" s="35" t="n"/>
      <c r="AE10" s="33" t="n"/>
      <c r="AF10" s="33" t="n"/>
      <c r="AG10" s="33" t="n"/>
      <c r="AH10" s="34">
        <f>IF(OR(AI10="G",AI10="D"),0,IF(AND(AE10="",AF10=""),0,MAX(0,IFERROR(AE10+0,0)+IFERROR(AF10+0,0)-IFERROR(AG10+0,0))))</f>
        <v/>
      </c>
      <c r="AI10" s="35" t="n"/>
      <c r="AJ10" s="36">
        <f>IF(B10="","",IF(OR(J10="G",J10="D"),0,I10)+IF(OR(O10="G",O10="D"),0,N10)+IF(OR(T10="G",T10="D"),0,S10)+IF(OR(Y10="G",Y10="D"),0,X10)+IF(OR(AD10="G",AD10="D"),0,AC10)+IF(OR(AI10="G",AI10="D"),0,AH10))</f>
        <v/>
      </c>
      <c r="AK10" s="37">
        <f>IF(OR(B10="",AJ10=0),"-",RANK.EQ(AJ10,$AJ$6:$AJ$45,0))</f>
        <v/>
      </c>
      <c r="AL10" s="35">
        <f>IF(OR(B10="",I10=0),"-",IF(OR(J10="G",J10="D"),IF(J10="G","G","D"),COUNTIF($I$6:$I$45,"&gt;"&amp;I10)+1))</f>
        <v/>
      </c>
      <c r="AM10" s="35">
        <f>IF(OR(B10="",N10=0),"-",IF(OR(O10="G",O10="D"),IF(O10="G","G","D"),COUNTIF($N$6:$N$45,"&gt;"&amp;N10)+1))</f>
        <v/>
      </c>
      <c r="AN10" s="35">
        <f>IF(OR(B10="",S10=0),"-",IF(OR(T10="G",T10="D"),IF(T10="G","G","D"),COUNTIF($S$6:$S$45,"&gt;"&amp;S10)+1))</f>
        <v/>
      </c>
      <c r="AO10" s="35">
        <f>IF(OR(B10="",X10=0),"-",IF(OR(Y10="G",Y10="D"),IF(Y10="G","G","D"),COUNTIF($X$6:$X$45,"&gt;"&amp;X10)+1))</f>
        <v/>
      </c>
      <c r="AP10" s="35">
        <f>IF(OR(B10="",AC10=0),"-",IF(OR(AD10="G",AD10="D"),IF(AD10="G","G","D"),COUNTIF($AC$6:$AC$45,"&gt;"&amp;AC10)+1))</f>
        <v/>
      </c>
      <c r="AQ10" s="35">
        <f>IF(OR(B10="",AH10=0),"-",IF(OR(AI10="G",AI10="D"),IF(AI10="G","G","D"),COUNTIF($AH$6:$AH$45,"&gt;"&amp;AH10)+1))</f>
        <v/>
      </c>
    </row>
    <row r="11">
      <c r="A11" s="38" t="n">
        <v>6</v>
      </c>
      <c r="B11" s="39" t="n"/>
      <c r="C11" s="39" t="n"/>
      <c r="D11" s="40" t="n"/>
      <c r="E11" s="41" t="n"/>
      <c r="F11" s="42" t="n"/>
      <c r="G11" s="42" t="n"/>
      <c r="H11" s="42" t="n"/>
      <c r="I11" s="34">
        <f>IF(OR(J11="G",J11="D"),0,IF(AND(F11="",G11=""),0,MAX(0,IFERROR(F11+0,0)+IFERROR(G11+0,0)-IFERROR(H11+0,0))))</f>
        <v/>
      </c>
      <c r="J11" s="43" t="n"/>
      <c r="K11" s="42" t="n"/>
      <c r="L11" s="42" t="n"/>
      <c r="M11" s="42" t="n"/>
      <c r="N11" s="34">
        <f>IF(OR(O11="G",O11="D"),0,IF(AND(K11="",L11=""),0,MAX(0,IFERROR(K11+0,0)+IFERROR(L11+0,0)-IFERROR(M11+0,0))))</f>
        <v/>
      </c>
      <c r="O11" s="43" t="n"/>
      <c r="P11" s="42" t="n"/>
      <c r="Q11" s="42" t="n"/>
      <c r="R11" s="42" t="n"/>
      <c r="S11" s="34">
        <f>IF(OR(T11="G",T11="D"),0,IF(AND(P11="",Q11=""),0,MAX(0,IFERROR(P11+0,0)+IFERROR(Q11+0,0)-IFERROR(R11+0,0))))</f>
        <v/>
      </c>
      <c r="T11" s="43" t="n"/>
      <c r="U11" s="42" t="n"/>
      <c r="V11" s="42" t="n"/>
      <c r="W11" s="42" t="n"/>
      <c r="X11" s="34">
        <f>IF(OR(Y11="G",Y11="D"),0,IF(AND(U11="",V11=""),0,MAX(0,IFERROR(U11+0,0)+IFERROR(V11+0,0)-IFERROR(W11+0,0))))</f>
        <v/>
      </c>
      <c r="Y11" s="43" t="n"/>
      <c r="Z11" s="42" t="n"/>
      <c r="AA11" s="42" t="n"/>
      <c r="AB11" s="42" t="n"/>
      <c r="AC11" s="34">
        <f>IF(OR(AD11="G",AD11="D"),0,IF(AND(Z11="",AA11=""),0,MAX(0,IFERROR(Z11+0,0)+IFERROR(AA11+0,0)-IFERROR(AB11+0,0))))</f>
        <v/>
      </c>
      <c r="AD11" s="43" t="n"/>
      <c r="AE11" s="42" t="n"/>
      <c r="AF11" s="42" t="n"/>
      <c r="AG11" s="42" t="n"/>
      <c r="AH11" s="34">
        <f>IF(OR(AI11="G",AI11="D"),0,IF(AND(AE11="",AF11=""),0,MAX(0,IFERROR(AE11+0,0)+IFERROR(AF11+0,0)-IFERROR(AG11+0,0))))</f>
        <v/>
      </c>
      <c r="AI11" s="43" t="n"/>
      <c r="AJ11" s="36">
        <f>IF(B11="","",IF(OR(J11="G",J11="D"),0,I11)+IF(OR(O11="G",O11="D"),0,N11)+IF(OR(T11="G",T11="D"),0,S11)+IF(OR(Y11="G",Y11="D"),0,X11)+IF(OR(AD11="G",AD11="D"),0,AC11)+IF(OR(AI11="G",AI11="D"),0,AH11))</f>
        <v/>
      </c>
      <c r="AK11" s="37">
        <f>IF(OR(B11="",AJ11=0),"-",RANK.EQ(AJ11,$AJ$6:$AJ$45,0))</f>
        <v/>
      </c>
      <c r="AL11" s="43">
        <f>IF(OR(B11="",I11=0),"-",IF(OR(J11="G",J11="D"),IF(J11="G","G","D"),COUNTIF($I$6:$I$45,"&gt;"&amp;I11)+1))</f>
        <v/>
      </c>
      <c r="AM11" s="43">
        <f>IF(OR(B11="",N11=0),"-",IF(OR(O11="G",O11="D"),IF(O11="G","G","D"),COUNTIF($N$6:$N$45,"&gt;"&amp;N11)+1))</f>
        <v/>
      </c>
      <c r="AN11" s="43">
        <f>IF(OR(B11="",S11=0),"-",IF(OR(T11="G",T11="D"),IF(T11="G","G","D"),COUNTIF($S$6:$S$45,"&gt;"&amp;S11)+1))</f>
        <v/>
      </c>
      <c r="AO11" s="43">
        <f>IF(OR(B11="",X11=0),"-",IF(OR(Y11="G",Y11="D"),IF(Y11="G","G","D"),COUNTIF($X$6:$X$45,"&gt;"&amp;X11)+1))</f>
        <v/>
      </c>
      <c r="AP11" s="43">
        <f>IF(OR(B11="",AC11=0),"-",IF(OR(AD11="G",AD11="D"),IF(AD11="G","G","D"),COUNTIF($AC$6:$AC$45,"&gt;"&amp;AC11)+1))</f>
        <v/>
      </c>
      <c r="AQ11" s="43">
        <f>IF(OR(B11="",AH11=0),"-",IF(OR(AI11="G",AI11="D"),IF(AI11="G","G","D"),COUNTIF($AH$6:$AH$45,"&gt;"&amp;AH11)+1))</f>
        <v/>
      </c>
    </row>
    <row r="12">
      <c r="A12" s="29" t="n">
        <v>7</v>
      </c>
      <c r="B12" s="30" t="n"/>
      <c r="C12" s="30" t="n"/>
      <c r="D12" s="31" t="n"/>
      <c r="E12" s="32" t="n"/>
      <c r="F12" s="33" t="n"/>
      <c r="G12" s="33" t="n"/>
      <c r="H12" s="33" t="n"/>
      <c r="I12" s="34">
        <f>IF(OR(J12="G",J12="D"),0,IF(AND(F12="",G12=""),0,MAX(0,IFERROR(F12+0,0)+IFERROR(G12+0,0)-IFERROR(H12+0,0))))</f>
        <v/>
      </c>
      <c r="J12" s="35" t="n"/>
      <c r="K12" s="33" t="n"/>
      <c r="L12" s="33" t="n"/>
      <c r="M12" s="33" t="n"/>
      <c r="N12" s="34">
        <f>IF(OR(O12="G",O12="D"),0,IF(AND(K12="",L12=""),0,MAX(0,IFERROR(K12+0,0)+IFERROR(L12+0,0)-IFERROR(M12+0,0))))</f>
        <v/>
      </c>
      <c r="O12" s="35" t="n"/>
      <c r="P12" s="33" t="n"/>
      <c r="Q12" s="33" t="n"/>
      <c r="R12" s="33" t="n"/>
      <c r="S12" s="34">
        <f>IF(OR(T12="G",T12="D"),0,IF(AND(P12="",Q12=""),0,MAX(0,IFERROR(P12+0,0)+IFERROR(Q12+0,0)-IFERROR(R12+0,0))))</f>
        <v/>
      </c>
      <c r="T12" s="35" t="n"/>
      <c r="U12" s="33" t="n"/>
      <c r="V12" s="33" t="n"/>
      <c r="W12" s="33" t="n"/>
      <c r="X12" s="34">
        <f>IF(OR(Y12="G",Y12="D"),0,IF(AND(U12="",V12=""),0,MAX(0,IFERROR(U12+0,0)+IFERROR(V12+0,0)-IFERROR(W12+0,0))))</f>
        <v/>
      </c>
      <c r="Y12" s="35" t="n"/>
      <c r="Z12" s="33" t="n"/>
      <c r="AA12" s="33" t="n"/>
      <c r="AB12" s="33" t="n"/>
      <c r="AC12" s="34">
        <f>IF(OR(AD12="G",AD12="D"),0,IF(AND(Z12="",AA12=""),0,MAX(0,IFERROR(Z12+0,0)+IFERROR(AA12+0,0)-IFERROR(AB12+0,0))))</f>
        <v/>
      </c>
      <c r="AD12" s="35" t="n"/>
      <c r="AE12" s="33" t="n"/>
      <c r="AF12" s="33" t="n"/>
      <c r="AG12" s="33" t="n"/>
      <c r="AH12" s="34">
        <f>IF(OR(AI12="G",AI12="D"),0,IF(AND(AE12="",AF12=""),0,MAX(0,IFERROR(AE12+0,0)+IFERROR(AF12+0,0)-IFERROR(AG12+0,0))))</f>
        <v/>
      </c>
      <c r="AI12" s="35" t="n"/>
      <c r="AJ12" s="36">
        <f>IF(B12="","",IF(OR(J12="G",J12="D"),0,I12)+IF(OR(O12="G",O12="D"),0,N12)+IF(OR(T12="G",T12="D"),0,S12)+IF(OR(Y12="G",Y12="D"),0,X12)+IF(OR(AD12="G",AD12="D"),0,AC12)+IF(OR(AI12="G",AI12="D"),0,AH12))</f>
        <v/>
      </c>
      <c r="AK12" s="37">
        <f>IF(OR(B12="",AJ12=0),"-",RANK.EQ(AJ12,$AJ$6:$AJ$45,0))</f>
        <v/>
      </c>
      <c r="AL12" s="35">
        <f>IF(OR(B12="",I12=0),"-",IF(OR(J12="G",J12="D"),IF(J12="G","G","D"),COUNTIF($I$6:$I$45,"&gt;"&amp;I12)+1))</f>
        <v/>
      </c>
      <c r="AM12" s="35">
        <f>IF(OR(B12="",N12=0),"-",IF(OR(O12="G",O12="D"),IF(O12="G","G","D"),COUNTIF($N$6:$N$45,"&gt;"&amp;N12)+1))</f>
        <v/>
      </c>
      <c r="AN12" s="35">
        <f>IF(OR(B12="",S12=0),"-",IF(OR(T12="G",T12="D"),IF(T12="G","G","D"),COUNTIF($S$6:$S$45,"&gt;"&amp;S12)+1))</f>
        <v/>
      </c>
      <c r="AO12" s="35">
        <f>IF(OR(B12="",X12=0),"-",IF(OR(Y12="G",Y12="D"),IF(Y12="G","G","D"),COUNTIF($X$6:$X$45,"&gt;"&amp;X12)+1))</f>
        <v/>
      </c>
      <c r="AP12" s="35">
        <f>IF(OR(B12="",AC12=0),"-",IF(OR(AD12="G",AD12="D"),IF(AD12="G","G","D"),COUNTIF($AC$6:$AC$45,"&gt;"&amp;AC12)+1))</f>
        <v/>
      </c>
      <c r="AQ12" s="35">
        <f>IF(OR(B12="",AH12=0),"-",IF(OR(AI12="G",AI12="D"),IF(AI12="G","G","D"),COUNTIF($AH$6:$AH$45,"&gt;"&amp;AH12)+1))</f>
        <v/>
      </c>
    </row>
    <row r="13">
      <c r="A13" s="38" t="n">
        <v>8</v>
      </c>
      <c r="B13" s="39" t="n"/>
      <c r="C13" s="39" t="n"/>
      <c r="D13" s="40" t="n"/>
      <c r="E13" s="41" t="n"/>
      <c r="F13" s="42" t="n"/>
      <c r="G13" s="42" t="n"/>
      <c r="H13" s="42" t="n"/>
      <c r="I13" s="34">
        <f>IF(OR(J13="G",J13="D"),0,IF(AND(F13="",G13=""),0,MAX(0,IFERROR(F13+0,0)+IFERROR(G13+0,0)-IFERROR(H13+0,0))))</f>
        <v/>
      </c>
      <c r="J13" s="43" t="n"/>
      <c r="K13" s="42" t="n"/>
      <c r="L13" s="42" t="n"/>
      <c r="M13" s="42" t="n"/>
      <c r="N13" s="34">
        <f>IF(OR(O13="G",O13="D"),0,IF(AND(K13="",L13=""),0,MAX(0,IFERROR(K13+0,0)+IFERROR(L13+0,0)-IFERROR(M13+0,0))))</f>
        <v/>
      </c>
      <c r="O13" s="43" t="n"/>
      <c r="P13" s="42" t="n"/>
      <c r="Q13" s="42" t="n"/>
      <c r="R13" s="42" t="n"/>
      <c r="S13" s="34">
        <f>IF(OR(T13="G",T13="D"),0,IF(AND(P13="",Q13=""),0,MAX(0,IFERROR(P13+0,0)+IFERROR(Q13+0,0)-IFERROR(R13+0,0))))</f>
        <v/>
      </c>
      <c r="T13" s="43" t="n"/>
      <c r="U13" s="42" t="n"/>
      <c r="V13" s="42" t="n"/>
      <c r="W13" s="42" t="n"/>
      <c r="X13" s="34">
        <f>IF(OR(Y13="G",Y13="D"),0,IF(AND(U13="",V13=""),0,MAX(0,IFERROR(U13+0,0)+IFERROR(V13+0,0)-IFERROR(W13+0,0))))</f>
        <v/>
      </c>
      <c r="Y13" s="43" t="n"/>
      <c r="Z13" s="42" t="n"/>
      <c r="AA13" s="42" t="n"/>
      <c r="AB13" s="42" t="n"/>
      <c r="AC13" s="34">
        <f>IF(OR(AD13="G",AD13="D"),0,IF(AND(Z13="",AA13=""),0,MAX(0,IFERROR(Z13+0,0)+IFERROR(AA13+0,0)-IFERROR(AB13+0,0))))</f>
        <v/>
      </c>
      <c r="AD13" s="43" t="n"/>
      <c r="AE13" s="42" t="n"/>
      <c r="AF13" s="42" t="n"/>
      <c r="AG13" s="42" t="n"/>
      <c r="AH13" s="34">
        <f>IF(OR(AI13="G",AI13="D"),0,IF(AND(AE13="",AF13=""),0,MAX(0,IFERROR(AE13+0,0)+IFERROR(AF13+0,0)-IFERROR(AG13+0,0))))</f>
        <v/>
      </c>
      <c r="AI13" s="43" t="n"/>
      <c r="AJ13" s="36">
        <f>IF(B13="","",IF(OR(J13="G",J13="D"),0,I13)+IF(OR(O13="G",O13="D"),0,N13)+IF(OR(T13="G",T13="D"),0,S13)+IF(OR(Y13="G",Y13="D"),0,X13)+IF(OR(AD13="G",AD13="D"),0,AC13)+IF(OR(AI13="G",AI13="D"),0,AH13))</f>
        <v/>
      </c>
      <c r="AK13" s="37">
        <f>IF(OR(B13="",AJ13=0),"-",RANK.EQ(AJ13,$AJ$6:$AJ$45,0))</f>
        <v/>
      </c>
      <c r="AL13" s="43">
        <f>IF(OR(B13="",I13=0),"-",IF(OR(J13="G",J13="D"),IF(J13="G","G","D"),COUNTIF($I$6:$I$45,"&gt;"&amp;I13)+1))</f>
        <v/>
      </c>
      <c r="AM13" s="43">
        <f>IF(OR(B13="",N13=0),"-",IF(OR(O13="G",O13="D"),IF(O13="G","G","D"),COUNTIF($N$6:$N$45,"&gt;"&amp;N13)+1))</f>
        <v/>
      </c>
      <c r="AN13" s="43">
        <f>IF(OR(B13="",S13=0),"-",IF(OR(T13="G",T13="D"),IF(T13="G","G","D"),COUNTIF($S$6:$S$45,"&gt;"&amp;S13)+1))</f>
        <v/>
      </c>
      <c r="AO13" s="43">
        <f>IF(OR(B13="",X13=0),"-",IF(OR(Y13="G",Y13="D"),IF(Y13="G","G","D"),COUNTIF($X$6:$X$45,"&gt;"&amp;X13)+1))</f>
        <v/>
      </c>
      <c r="AP13" s="43">
        <f>IF(OR(B13="",AC13=0),"-",IF(OR(AD13="G",AD13="D"),IF(AD13="G","G","D"),COUNTIF($AC$6:$AC$45,"&gt;"&amp;AC13)+1))</f>
        <v/>
      </c>
      <c r="AQ13" s="43">
        <f>IF(OR(B13="",AH13=0),"-",IF(OR(AI13="G",AI13="D"),IF(AI13="G","G","D"),COUNTIF($AH$6:$AH$45,"&gt;"&amp;AH13)+1))</f>
        <v/>
      </c>
    </row>
    <row r="14">
      <c r="A14" s="29" t="n">
        <v>9</v>
      </c>
      <c r="B14" s="30" t="n"/>
      <c r="C14" s="30" t="n"/>
      <c r="D14" s="31" t="n"/>
      <c r="E14" s="32" t="n"/>
      <c r="F14" s="33" t="n"/>
      <c r="G14" s="33" t="n"/>
      <c r="H14" s="33" t="n"/>
      <c r="I14" s="34">
        <f>IF(OR(J14="G",J14="D"),0,IF(AND(F14="",G14=""),0,MAX(0,IFERROR(F14+0,0)+IFERROR(G14+0,0)-IFERROR(H14+0,0))))</f>
        <v/>
      </c>
      <c r="J14" s="35" t="n"/>
      <c r="K14" s="33" t="n"/>
      <c r="L14" s="33" t="n"/>
      <c r="M14" s="33" t="n"/>
      <c r="N14" s="34">
        <f>IF(OR(O14="G",O14="D"),0,IF(AND(K14="",L14=""),0,MAX(0,IFERROR(K14+0,0)+IFERROR(L14+0,0)-IFERROR(M14+0,0))))</f>
        <v/>
      </c>
      <c r="O14" s="35" t="n"/>
      <c r="P14" s="33" t="n"/>
      <c r="Q14" s="33" t="n"/>
      <c r="R14" s="33" t="n"/>
      <c r="S14" s="34">
        <f>IF(OR(T14="G",T14="D"),0,IF(AND(P14="",Q14=""),0,MAX(0,IFERROR(P14+0,0)+IFERROR(Q14+0,0)-IFERROR(R14+0,0))))</f>
        <v/>
      </c>
      <c r="T14" s="35" t="n"/>
      <c r="U14" s="33" t="n"/>
      <c r="V14" s="33" t="n"/>
      <c r="W14" s="33" t="n"/>
      <c r="X14" s="34">
        <f>IF(OR(Y14="G",Y14="D"),0,IF(AND(U14="",V14=""),0,MAX(0,IFERROR(U14+0,0)+IFERROR(V14+0,0)-IFERROR(W14+0,0))))</f>
        <v/>
      </c>
      <c r="Y14" s="35" t="n"/>
      <c r="Z14" s="33" t="n"/>
      <c r="AA14" s="33" t="n"/>
      <c r="AB14" s="33" t="n"/>
      <c r="AC14" s="34">
        <f>IF(OR(AD14="G",AD14="D"),0,IF(AND(Z14="",AA14=""),0,MAX(0,IFERROR(Z14+0,0)+IFERROR(AA14+0,0)-IFERROR(AB14+0,0))))</f>
        <v/>
      </c>
      <c r="AD14" s="35" t="n"/>
      <c r="AE14" s="33" t="n"/>
      <c r="AF14" s="33" t="n"/>
      <c r="AG14" s="33" t="n"/>
      <c r="AH14" s="34">
        <f>IF(OR(AI14="G",AI14="D"),0,IF(AND(AE14="",AF14=""),0,MAX(0,IFERROR(AE14+0,0)+IFERROR(AF14+0,0)-IFERROR(AG14+0,0))))</f>
        <v/>
      </c>
      <c r="AI14" s="35" t="n"/>
      <c r="AJ14" s="36">
        <f>IF(B14="","",IF(OR(J14="G",J14="D"),0,I14)+IF(OR(O14="G",O14="D"),0,N14)+IF(OR(T14="G",T14="D"),0,S14)+IF(OR(Y14="G",Y14="D"),0,X14)+IF(OR(AD14="G",AD14="D"),0,AC14)+IF(OR(AI14="G",AI14="D"),0,AH14))</f>
        <v/>
      </c>
      <c r="AK14" s="37">
        <f>IF(OR(B14="",AJ14=0),"-",RANK.EQ(AJ14,$AJ$6:$AJ$45,0))</f>
        <v/>
      </c>
      <c r="AL14" s="35">
        <f>IF(OR(B14="",I14=0),"-",IF(OR(J14="G",J14="D"),IF(J14="G","G","D"),COUNTIF($I$6:$I$45,"&gt;"&amp;I14)+1))</f>
        <v/>
      </c>
      <c r="AM14" s="35">
        <f>IF(OR(B14="",N14=0),"-",IF(OR(O14="G",O14="D"),IF(O14="G","G","D"),COUNTIF($N$6:$N$45,"&gt;"&amp;N14)+1))</f>
        <v/>
      </c>
      <c r="AN14" s="35">
        <f>IF(OR(B14="",S14=0),"-",IF(OR(T14="G",T14="D"),IF(T14="G","G","D"),COUNTIF($S$6:$S$45,"&gt;"&amp;S14)+1))</f>
        <v/>
      </c>
      <c r="AO14" s="35">
        <f>IF(OR(B14="",X14=0),"-",IF(OR(Y14="G",Y14="D"),IF(Y14="G","G","D"),COUNTIF($X$6:$X$45,"&gt;"&amp;X14)+1))</f>
        <v/>
      </c>
      <c r="AP14" s="35">
        <f>IF(OR(B14="",AC14=0),"-",IF(OR(AD14="G",AD14="D"),IF(AD14="G","G","D"),COUNTIF($AC$6:$AC$45,"&gt;"&amp;AC14)+1))</f>
        <v/>
      </c>
      <c r="AQ14" s="35">
        <f>IF(OR(B14="",AH14=0),"-",IF(OR(AI14="G",AI14="D"),IF(AI14="G","G","D"),COUNTIF($AH$6:$AH$45,"&gt;"&amp;AH14)+1))</f>
        <v/>
      </c>
    </row>
    <row r="15">
      <c r="A15" s="38" t="n">
        <v>10</v>
      </c>
      <c r="B15" s="39" t="n"/>
      <c r="C15" s="39" t="n"/>
      <c r="D15" s="40" t="n"/>
      <c r="E15" s="41" t="n"/>
      <c r="F15" s="42" t="n"/>
      <c r="G15" s="42" t="n"/>
      <c r="H15" s="42" t="n"/>
      <c r="I15" s="34">
        <f>IF(OR(J15="G",J15="D"),0,IF(AND(F15="",G15=""),0,MAX(0,IFERROR(F15+0,0)+IFERROR(G15+0,0)-IFERROR(H15+0,0))))</f>
        <v/>
      </c>
      <c r="J15" s="43" t="n"/>
      <c r="K15" s="42" t="n"/>
      <c r="L15" s="42" t="n"/>
      <c r="M15" s="42" t="n"/>
      <c r="N15" s="34">
        <f>IF(OR(O15="G",O15="D"),0,IF(AND(K15="",L15=""),0,MAX(0,IFERROR(K15+0,0)+IFERROR(L15+0,0)-IFERROR(M15+0,0))))</f>
        <v/>
      </c>
      <c r="O15" s="43" t="n"/>
      <c r="P15" s="42" t="n"/>
      <c r="Q15" s="42" t="n"/>
      <c r="R15" s="42" t="n"/>
      <c r="S15" s="34">
        <f>IF(OR(T15="G",T15="D"),0,IF(AND(P15="",Q15=""),0,MAX(0,IFERROR(P15+0,0)+IFERROR(Q15+0,0)-IFERROR(R15+0,0))))</f>
        <v/>
      </c>
      <c r="T15" s="43" t="n"/>
      <c r="U15" s="42" t="n"/>
      <c r="V15" s="42" t="n"/>
      <c r="W15" s="42" t="n"/>
      <c r="X15" s="34">
        <f>IF(OR(Y15="G",Y15="D"),0,IF(AND(U15="",V15=""),0,MAX(0,IFERROR(U15+0,0)+IFERROR(V15+0,0)-IFERROR(W15+0,0))))</f>
        <v/>
      </c>
      <c r="Y15" s="43" t="n"/>
      <c r="Z15" s="42" t="n"/>
      <c r="AA15" s="42" t="n"/>
      <c r="AB15" s="42" t="n"/>
      <c r="AC15" s="34">
        <f>IF(OR(AD15="G",AD15="D"),0,IF(AND(Z15="",AA15=""),0,MAX(0,IFERROR(Z15+0,0)+IFERROR(AA15+0,0)-IFERROR(AB15+0,0))))</f>
        <v/>
      </c>
      <c r="AD15" s="43" t="n"/>
      <c r="AE15" s="42" t="n"/>
      <c r="AF15" s="42" t="n"/>
      <c r="AG15" s="42" t="n"/>
      <c r="AH15" s="34">
        <f>IF(OR(AI15="G",AI15="D"),0,IF(AND(AE15="",AF15=""),0,MAX(0,IFERROR(AE15+0,0)+IFERROR(AF15+0,0)-IFERROR(AG15+0,0))))</f>
        <v/>
      </c>
      <c r="AI15" s="43" t="n"/>
      <c r="AJ15" s="36">
        <f>IF(B15="","",IF(OR(J15="G",J15="D"),0,I15)+IF(OR(O15="G",O15="D"),0,N15)+IF(OR(T15="G",T15="D"),0,S15)+IF(OR(Y15="G",Y15="D"),0,X15)+IF(OR(AD15="G",AD15="D"),0,AC15)+IF(OR(AI15="G",AI15="D"),0,AH15))</f>
        <v/>
      </c>
      <c r="AK15" s="37">
        <f>IF(OR(B15="",AJ15=0),"-",RANK.EQ(AJ15,$AJ$6:$AJ$45,0))</f>
        <v/>
      </c>
      <c r="AL15" s="43">
        <f>IF(OR(B15="",I15=0),"-",IF(OR(J15="G",J15="D"),IF(J15="G","G","D"),COUNTIF($I$6:$I$45,"&gt;"&amp;I15)+1))</f>
        <v/>
      </c>
      <c r="AM15" s="43">
        <f>IF(OR(B15="",N15=0),"-",IF(OR(O15="G",O15="D"),IF(O15="G","G","D"),COUNTIF($N$6:$N$45,"&gt;"&amp;N15)+1))</f>
        <v/>
      </c>
      <c r="AN15" s="43">
        <f>IF(OR(B15="",S15=0),"-",IF(OR(T15="G",T15="D"),IF(T15="G","G","D"),COUNTIF($S$6:$S$45,"&gt;"&amp;S15)+1))</f>
        <v/>
      </c>
      <c r="AO15" s="43">
        <f>IF(OR(B15="",X15=0),"-",IF(OR(Y15="G",Y15="D"),IF(Y15="G","G","D"),COUNTIF($X$6:$X$45,"&gt;"&amp;X15)+1))</f>
        <v/>
      </c>
      <c r="AP15" s="43">
        <f>IF(OR(B15="",AC15=0),"-",IF(OR(AD15="G",AD15="D"),IF(AD15="G","G","D"),COUNTIF($AC$6:$AC$45,"&gt;"&amp;AC15)+1))</f>
        <v/>
      </c>
      <c r="AQ15" s="43">
        <f>IF(OR(B15="",AH15=0),"-",IF(OR(AI15="G",AI15="D"),IF(AI15="G","G","D"),COUNTIF($AH$6:$AH$45,"&gt;"&amp;AH15)+1))</f>
        <v/>
      </c>
    </row>
    <row r="16">
      <c r="A16" s="29" t="n">
        <v>11</v>
      </c>
      <c r="B16" s="30" t="n"/>
      <c r="C16" s="30" t="n"/>
      <c r="D16" s="31" t="n"/>
      <c r="E16" s="32" t="n"/>
      <c r="F16" s="33" t="n"/>
      <c r="G16" s="33" t="n"/>
      <c r="H16" s="33" t="n"/>
      <c r="I16" s="34">
        <f>IF(OR(J16="G",J16="D"),0,IF(AND(F16="",G16=""),0,MAX(0,IFERROR(F16+0,0)+IFERROR(G16+0,0)-IFERROR(H16+0,0))))</f>
        <v/>
      </c>
      <c r="J16" s="35" t="n"/>
      <c r="K16" s="33" t="n"/>
      <c r="L16" s="33" t="n"/>
      <c r="M16" s="33" t="n"/>
      <c r="N16" s="34">
        <f>IF(OR(O16="G",O16="D"),0,IF(AND(K16="",L16=""),0,MAX(0,IFERROR(K16+0,0)+IFERROR(L16+0,0)-IFERROR(M16+0,0))))</f>
        <v/>
      </c>
      <c r="O16" s="35" t="n"/>
      <c r="P16" s="33" t="n"/>
      <c r="Q16" s="33" t="n"/>
      <c r="R16" s="33" t="n"/>
      <c r="S16" s="34">
        <f>IF(OR(T16="G",T16="D"),0,IF(AND(P16="",Q16=""),0,MAX(0,IFERROR(P16+0,0)+IFERROR(Q16+0,0)-IFERROR(R16+0,0))))</f>
        <v/>
      </c>
      <c r="T16" s="35" t="n"/>
      <c r="U16" s="33" t="n"/>
      <c r="V16" s="33" t="n"/>
      <c r="W16" s="33" t="n"/>
      <c r="X16" s="34">
        <f>IF(OR(Y16="G",Y16="D"),0,IF(AND(U16="",V16=""),0,MAX(0,IFERROR(U16+0,0)+IFERROR(V16+0,0)-IFERROR(W16+0,0))))</f>
        <v/>
      </c>
      <c r="Y16" s="35" t="n"/>
      <c r="Z16" s="33" t="n"/>
      <c r="AA16" s="33" t="n"/>
      <c r="AB16" s="33" t="n"/>
      <c r="AC16" s="34">
        <f>IF(OR(AD16="G",AD16="D"),0,IF(AND(Z16="",AA16=""),0,MAX(0,IFERROR(Z16+0,0)+IFERROR(AA16+0,0)-IFERROR(AB16+0,0))))</f>
        <v/>
      </c>
      <c r="AD16" s="35" t="n"/>
      <c r="AE16" s="33" t="n"/>
      <c r="AF16" s="33" t="n"/>
      <c r="AG16" s="33" t="n"/>
      <c r="AH16" s="34">
        <f>IF(OR(AI16="G",AI16="D"),0,IF(AND(AE16="",AF16=""),0,MAX(0,IFERROR(AE16+0,0)+IFERROR(AF16+0,0)-IFERROR(AG16+0,0))))</f>
        <v/>
      </c>
      <c r="AI16" s="35" t="n"/>
      <c r="AJ16" s="36">
        <f>IF(B16="","",IF(OR(J16="G",J16="D"),0,I16)+IF(OR(O16="G",O16="D"),0,N16)+IF(OR(T16="G",T16="D"),0,S16)+IF(OR(Y16="G",Y16="D"),0,X16)+IF(OR(AD16="G",AD16="D"),0,AC16)+IF(OR(AI16="G",AI16="D"),0,AH16))</f>
        <v/>
      </c>
      <c r="AK16" s="37">
        <f>IF(OR(B16="",AJ16=0),"-",RANK.EQ(AJ16,$AJ$6:$AJ$45,0))</f>
        <v/>
      </c>
      <c r="AL16" s="35">
        <f>IF(OR(B16="",I16=0),"-",IF(OR(J16="G",J16="D"),IF(J16="G","G","D"),COUNTIF($I$6:$I$45,"&gt;"&amp;I16)+1))</f>
        <v/>
      </c>
      <c r="AM16" s="35">
        <f>IF(OR(B16="",N16=0),"-",IF(OR(O16="G",O16="D"),IF(O16="G","G","D"),COUNTIF($N$6:$N$45,"&gt;"&amp;N16)+1))</f>
        <v/>
      </c>
      <c r="AN16" s="35">
        <f>IF(OR(B16="",S16=0),"-",IF(OR(T16="G",T16="D"),IF(T16="G","G","D"),COUNTIF($S$6:$S$45,"&gt;"&amp;S16)+1))</f>
        <v/>
      </c>
      <c r="AO16" s="35">
        <f>IF(OR(B16="",X16=0),"-",IF(OR(Y16="G",Y16="D"),IF(Y16="G","G","D"),COUNTIF($X$6:$X$45,"&gt;"&amp;X16)+1))</f>
        <v/>
      </c>
      <c r="AP16" s="35">
        <f>IF(OR(B16="",AC16=0),"-",IF(OR(AD16="G",AD16="D"),IF(AD16="G","G","D"),COUNTIF($AC$6:$AC$45,"&gt;"&amp;AC16)+1))</f>
        <v/>
      </c>
      <c r="AQ16" s="35">
        <f>IF(OR(B16="",AH16=0),"-",IF(OR(AI16="G",AI16="D"),IF(AI16="G","G","D"),COUNTIF($AH$6:$AH$45,"&gt;"&amp;AH16)+1))</f>
        <v/>
      </c>
    </row>
    <row r="17">
      <c r="A17" s="38" t="n">
        <v>12</v>
      </c>
      <c r="B17" s="39" t="n"/>
      <c r="C17" s="39" t="n"/>
      <c r="D17" s="40" t="n"/>
      <c r="E17" s="41" t="n"/>
      <c r="F17" s="42" t="n"/>
      <c r="G17" s="42" t="n"/>
      <c r="H17" s="42" t="n"/>
      <c r="I17" s="34">
        <f>IF(OR(J17="G",J17="D"),0,IF(AND(F17="",G17=""),0,MAX(0,IFERROR(F17+0,0)+IFERROR(G17+0,0)-IFERROR(H17+0,0))))</f>
        <v/>
      </c>
      <c r="J17" s="43" t="n"/>
      <c r="K17" s="42" t="n"/>
      <c r="L17" s="42" t="n"/>
      <c r="M17" s="42" t="n"/>
      <c r="N17" s="34">
        <f>IF(OR(O17="G",O17="D"),0,IF(AND(K17="",L17=""),0,MAX(0,IFERROR(K17+0,0)+IFERROR(L17+0,0)-IFERROR(M17+0,0))))</f>
        <v/>
      </c>
      <c r="O17" s="43" t="n"/>
      <c r="P17" s="42" t="n"/>
      <c r="Q17" s="42" t="n"/>
      <c r="R17" s="42" t="n"/>
      <c r="S17" s="34">
        <f>IF(OR(T17="G",T17="D"),0,IF(AND(P17="",Q17=""),0,MAX(0,IFERROR(P17+0,0)+IFERROR(Q17+0,0)-IFERROR(R17+0,0))))</f>
        <v/>
      </c>
      <c r="T17" s="43" t="n"/>
      <c r="U17" s="42" t="n"/>
      <c r="V17" s="42" t="n"/>
      <c r="W17" s="42" t="n"/>
      <c r="X17" s="34">
        <f>IF(OR(Y17="G",Y17="D"),0,IF(AND(U17="",V17=""),0,MAX(0,IFERROR(U17+0,0)+IFERROR(V17+0,0)-IFERROR(W17+0,0))))</f>
        <v/>
      </c>
      <c r="Y17" s="43" t="n"/>
      <c r="Z17" s="42" t="n"/>
      <c r="AA17" s="42" t="n"/>
      <c r="AB17" s="42" t="n"/>
      <c r="AC17" s="34">
        <f>IF(OR(AD17="G",AD17="D"),0,IF(AND(Z17="",AA17=""),0,MAX(0,IFERROR(Z17+0,0)+IFERROR(AA17+0,0)-IFERROR(AB17+0,0))))</f>
        <v/>
      </c>
      <c r="AD17" s="43" t="n"/>
      <c r="AE17" s="42" t="n"/>
      <c r="AF17" s="42" t="n"/>
      <c r="AG17" s="42" t="n"/>
      <c r="AH17" s="34">
        <f>IF(OR(AI17="G",AI17="D"),0,IF(AND(AE17="",AF17=""),0,MAX(0,IFERROR(AE17+0,0)+IFERROR(AF17+0,0)-IFERROR(AG17+0,0))))</f>
        <v/>
      </c>
      <c r="AI17" s="43" t="n"/>
      <c r="AJ17" s="36">
        <f>IF(B17="","",IF(OR(J17="G",J17="D"),0,I17)+IF(OR(O17="G",O17="D"),0,N17)+IF(OR(T17="G",T17="D"),0,S17)+IF(OR(Y17="G",Y17="D"),0,X17)+IF(OR(AD17="G",AD17="D"),0,AC17)+IF(OR(AI17="G",AI17="D"),0,AH17))</f>
        <v/>
      </c>
      <c r="AK17" s="37">
        <f>IF(OR(B17="",AJ17=0),"-",RANK.EQ(AJ17,$AJ$6:$AJ$45,0))</f>
        <v/>
      </c>
      <c r="AL17" s="43">
        <f>IF(OR(B17="",I17=0),"-",IF(OR(J17="G",J17="D"),IF(J17="G","G","D"),COUNTIF($I$6:$I$45,"&gt;"&amp;I17)+1))</f>
        <v/>
      </c>
      <c r="AM17" s="43">
        <f>IF(OR(B17="",N17=0),"-",IF(OR(O17="G",O17="D"),IF(O17="G","G","D"),COUNTIF($N$6:$N$45,"&gt;"&amp;N17)+1))</f>
        <v/>
      </c>
      <c r="AN17" s="43">
        <f>IF(OR(B17="",S17=0),"-",IF(OR(T17="G",T17="D"),IF(T17="G","G","D"),COUNTIF($S$6:$S$45,"&gt;"&amp;S17)+1))</f>
        <v/>
      </c>
      <c r="AO17" s="43">
        <f>IF(OR(B17="",X17=0),"-",IF(OR(Y17="G",Y17="D"),IF(Y17="G","G","D"),COUNTIF($X$6:$X$45,"&gt;"&amp;X17)+1))</f>
        <v/>
      </c>
      <c r="AP17" s="43">
        <f>IF(OR(B17="",AC17=0),"-",IF(OR(AD17="G",AD17="D"),IF(AD17="G","G","D"),COUNTIF($AC$6:$AC$45,"&gt;"&amp;AC17)+1))</f>
        <v/>
      </c>
      <c r="AQ17" s="43">
        <f>IF(OR(B17="",AH17=0),"-",IF(OR(AI17="G",AI17="D"),IF(AI17="G","G","D"),COUNTIF($AH$6:$AH$45,"&gt;"&amp;AH17)+1))</f>
        <v/>
      </c>
    </row>
    <row r="18">
      <c r="A18" s="29" t="n">
        <v>13</v>
      </c>
      <c r="B18" s="30" t="n"/>
      <c r="C18" s="30" t="n"/>
      <c r="D18" s="31" t="n"/>
      <c r="E18" s="32" t="n"/>
      <c r="F18" s="33" t="n"/>
      <c r="G18" s="33" t="n"/>
      <c r="H18" s="33" t="n"/>
      <c r="I18" s="34">
        <f>IF(OR(J18="G",J18="D"),0,IF(AND(F18="",G18=""),0,MAX(0,IFERROR(F18+0,0)+IFERROR(G18+0,0)-IFERROR(H18+0,0))))</f>
        <v/>
      </c>
      <c r="J18" s="35" t="n"/>
      <c r="K18" s="33" t="n"/>
      <c r="L18" s="33" t="n"/>
      <c r="M18" s="33" t="n"/>
      <c r="N18" s="34">
        <f>IF(OR(O18="G",O18="D"),0,IF(AND(K18="",L18=""),0,MAX(0,IFERROR(K18+0,0)+IFERROR(L18+0,0)-IFERROR(M18+0,0))))</f>
        <v/>
      </c>
      <c r="O18" s="35" t="n"/>
      <c r="P18" s="33" t="n"/>
      <c r="Q18" s="33" t="n"/>
      <c r="R18" s="33" t="n"/>
      <c r="S18" s="34">
        <f>IF(OR(T18="G",T18="D"),0,IF(AND(P18="",Q18=""),0,MAX(0,IFERROR(P18+0,0)+IFERROR(Q18+0,0)-IFERROR(R18+0,0))))</f>
        <v/>
      </c>
      <c r="T18" s="35" t="n"/>
      <c r="U18" s="33" t="n"/>
      <c r="V18" s="33" t="n"/>
      <c r="W18" s="33" t="n"/>
      <c r="X18" s="34">
        <f>IF(OR(Y18="G",Y18="D"),0,IF(AND(U18="",V18=""),0,MAX(0,IFERROR(U18+0,0)+IFERROR(V18+0,0)-IFERROR(W18+0,0))))</f>
        <v/>
      </c>
      <c r="Y18" s="35" t="n"/>
      <c r="Z18" s="33" t="n"/>
      <c r="AA18" s="33" t="n"/>
      <c r="AB18" s="33" t="n"/>
      <c r="AC18" s="34">
        <f>IF(OR(AD18="G",AD18="D"),0,IF(AND(Z18="",AA18=""),0,MAX(0,IFERROR(Z18+0,0)+IFERROR(AA18+0,0)-IFERROR(AB18+0,0))))</f>
        <v/>
      </c>
      <c r="AD18" s="35" t="n"/>
      <c r="AE18" s="33" t="n"/>
      <c r="AF18" s="33" t="n"/>
      <c r="AG18" s="33" t="n"/>
      <c r="AH18" s="34">
        <f>IF(OR(AI18="G",AI18="D"),0,IF(AND(AE18="",AF18=""),0,MAX(0,IFERROR(AE18+0,0)+IFERROR(AF18+0,0)-IFERROR(AG18+0,0))))</f>
        <v/>
      </c>
      <c r="AI18" s="35" t="n"/>
      <c r="AJ18" s="36">
        <f>IF(B18="","",IF(OR(J18="G",J18="D"),0,I18)+IF(OR(O18="G",O18="D"),0,N18)+IF(OR(T18="G",T18="D"),0,S18)+IF(OR(Y18="G",Y18="D"),0,X18)+IF(OR(AD18="G",AD18="D"),0,AC18)+IF(OR(AI18="G",AI18="D"),0,AH18))</f>
        <v/>
      </c>
      <c r="AK18" s="37">
        <f>IF(OR(B18="",AJ18=0),"-",RANK.EQ(AJ18,$AJ$6:$AJ$45,0))</f>
        <v/>
      </c>
      <c r="AL18" s="35">
        <f>IF(OR(B18="",I18=0),"-",IF(OR(J18="G",J18="D"),IF(J18="G","G","D"),COUNTIF($I$6:$I$45,"&gt;"&amp;I18)+1))</f>
        <v/>
      </c>
      <c r="AM18" s="35">
        <f>IF(OR(B18="",N18=0),"-",IF(OR(O18="G",O18="D"),IF(O18="G","G","D"),COUNTIF($N$6:$N$45,"&gt;"&amp;N18)+1))</f>
        <v/>
      </c>
      <c r="AN18" s="35">
        <f>IF(OR(B18="",S18=0),"-",IF(OR(T18="G",T18="D"),IF(T18="G","G","D"),COUNTIF($S$6:$S$45,"&gt;"&amp;S18)+1))</f>
        <v/>
      </c>
      <c r="AO18" s="35">
        <f>IF(OR(B18="",X18=0),"-",IF(OR(Y18="G",Y18="D"),IF(Y18="G","G","D"),COUNTIF($X$6:$X$45,"&gt;"&amp;X18)+1))</f>
        <v/>
      </c>
      <c r="AP18" s="35">
        <f>IF(OR(B18="",AC18=0),"-",IF(OR(AD18="G",AD18="D"),IF(AD18="G","G","D"),COUNTIF($AC$6:$AC$45,"&gt;"&amp;AC18)+1))</f>
        <v/>
      </c>
      <c r="AQ18" s="35">
        <f>IF(OR(B18="",AH18=0),"-",IF(OR(AI18="G",AI18="D"),IF(AI18="G","G","D"),COUNTIF($AH$6:$AH$45,"&gt;"&amp;AH18)+1))</f>
        <v/>
      </c>
    </row>
    <row r="19">
      <c r="A19" s="38" t="n">
        <v>14</v>
      </c>
      <c r="B19" s="39" t="n"/>
      <c r="C19" s="39" t="n"/>
      <c r="D19" s="40" t="n"/>
      <c r="E19" s="41" t="n"/>
      <c r="F19" s="42" t="n"/>
      <c r="G19" s="42" t="n"/>
      <c r="H19" s="42" t="n"/>
      <c r="I19" s="34">
        <f>IF(OR(J19="G",J19="D"),0,IF(AND(F19="",G19=""),0,MAX(0,IFERROR(F19+0,0)+IFERROR(G19+0,0)-IFERROR(H19+0,0))))</f>
        <v/>
      </c>
      <c r="J19" s="43" t="n"/>
      <c r="K19" s="42" t="n"/>
      <c r="L19" s="42" t="n"/>
      <c r="M19" s="42" t="n"/>
      <c r="N19" s="34">
        <f>IF(OR(O19="G",O19="D"),0,IF(AND(K19="",L19=""),0,MAX(0,IFERROR(K19+0,0)+IFERROR(L19+0,0)-IFERROR(M19+0,0))))</f>
        <v/>
      </c>
      <c r="O19" s="43" t="n"/>
      <c r="P19" s="42" t="n"/>
      <c r="Q19" s="42" t="n"/>
      <c r="R19" s="42" t="n"/>
      <c r="S19" s="34">
        <f>IF(OR(T19="G",T19="D"),0,IF(AND(P19="",Q19=""),0,MAX(0,IFERROR(P19+0,0)+IFERROR(Q19+0,0)-IFERROR(R19+0,0))))</f>
        <v/>
      </c>
      <c r="T19" s="43" t="n"/>
      <c r="U19" s="42" t="n"/>
      <c r="V19" s="42" t="n"/>
      <c r="W19" s="42" t="n"/>
      <c r="X19" s="34">
        <f>IF(OR(Y19="G",Y19="D"),0,IF(AND(U19="",V19=""),0,MAX(0,IFERROR(U19+0,0)+IFERROR(V19+0,0)-IFERROR(W19+0,0))))</f>
        <v/>
      </c>
      <c r="Y19" s="43" t="n"/>
      <c r="Z19" s="42" t="n"/>
      <c r="AA19" s="42" t="n"/>
      <c r="AB19" s="42" t="n"/>
      <c r="AC19" s="34">
        <f>IF(OR(AD19="G",AD19="D"),0,IF(AND(Z19="",AA19=""),0,MAX(0,IFERROR(Z19+0,0)+IFERROR(AA19+0,0)-IFERROR(AB19+0,0))))</f>
        <v/>
      </c>
      <c r="AD19" s="43" t="n"/>
      <c r="AE19" s="42" t="n"/>
      <c r="AF19" s="42" t="n"/>
      <c r="AG19" s="42" t="n"/>
      <c r="AH19" s="34">
        <f>IF(OR(AI19="G",AI19="D"),0,IF(AND(AE19="",AF19=""),0,MAX(0,IFERROR(AE19+0,0)+IFERROR(AF19+0,0)-IFERROR(AG19+0,0))))</f>
        <v/>
      </c>
      <c r="AI19" s="43" t="n"/>
      <c r="AJ19" s="36">
        <f>IF(B19="","",IF(OR(J19="G",J19="D"),0,I19)+IF(OR(O19="G",O19="D"),0,N19)+IF(OR(T19="G",T19="D"),0,S19)+IF(OR(Y19="G",Y19="D"),0,X19)+IF(OR(AD19="G",AD19="D"),0,AC19)+IF(OR(AI19="G",AI19="D"),0,AH19))</f>
        <v/>
      </c>
      <c r="AK19" s="37">
        <f>IF(OR(B19="",AJ19=0),"-",RANK.EQ(AJ19,$AJ$6:$AJ$45,0))</f>
        <v/>
      </c>
      <c r="AL19" s="43">
        <f>IF(OR(B19="",I19=0),"-",IF(OR(J19="G",J19="D"),IF(J19="G","G","D"),COUNTIF($I$6:$I$45,"&gt;"&amp;I19)+1))</f>
        <v/>
      </c>
      <c r="AM19" s="43">
        <f>IF(OR(B19="",N19=0),"-",IF(OR(O19="G",O19="D"),IF(O19="G","G","D"),COUNTIF($N$6:$N$45,"&gt;"&amp;N19)+1))</f>
        <v/>
      </c>
      <c r="AN19" s="43">
        <f>IF(OR(B19="",S19=0),"-",IF(OR(T19="G",T19="D"),IF(T19="G","G","D"),COUNTIF($S$6:$S$45,"&gt;"&amp;S19)+1))</f>
        <v/>
      </c>
      <c r="AO19" s="43">
        <f>IF(OR(B19="",X19=0),"-",IF(OR(Y19="G",Y19="D"),IF(Y19="G","G","D"),COUNTIF($X$6:$X$45,"&gt;"&amp;X19)+1))</f>
        <v/>
      </c>
      <c r="AP19" s="43">
        <f>IF(OR(B19="",AC19=0),"-",IF(OR(AD19="G",AD19="D"),IF(AD19="G","G","D"),COUNTIF($AC$6:$AC$45,"&gt;"&amp;AC19)+1))</f>
        <v/>
      </c>
      <c r="AQ19" s="43">
        <f>IF(OR(B19="",AH19=0),"-",IF(OR(AI19="G",AI19="D"),IF(AI19="G","G","D"),COUNTIF($AH$6:$AH$45,"&gt;"&amp;AH19)+1))</f>
        <v/>
      </c>
    </row>
    <row r="20">
      <c r="A20" s="29" t="n">
        <v>15</v>
      </c>
      <c r="B20" s="30" t="n"/>
      <c r="C20" s="30" t="n"/>
      <c r="D20" s="31" t="n"/>
      <c r="E20" s="32" t="n"/>
      <c r="F20" s="33" t="n"/>
      <c r="G20" s="33" t="n"/>
      <c r="H20" s="33" t="n"/>
      <c r="I20" s="34">
        <f>IF(OR(J20="G",J20="D"),0,IF(AND(F20="",G20=""),0,MAX(0,IFERROR(F20+0,0)+IFERROR(G20+0,0)-IFERROR(H20+0,0))))</f>
        <v/>
      </c>
      <c r="J20" s="35" t="n"/>
      <c r="K20" s="33" t="n"/>
      <c r="L20" s="33" t="n"/>
      <c r="M20" s="33" t="n"/>
      <c r="N20" s="34">
        <f>IF(OR(O20="G",O20="D"),0,IF(AND(K20="",L20=""),0,MAX(0,IFERROR(K20+0,0)+IFERROR(L20+0,0)-IFERROR(M20+0,0))))</f>
        <v/>
      </c>
      <c r="O20" s="35" t="n"/>
      <c r="P20" s="33" t="n"/>
      <c r="Q20" s="33" t="n"/>
      <c r="R20" s="33" t="n"/>
      <c r="S20" s="34">
        <f>IF(OR(T20="G",T20="D"),0,IF(AND(P20="",Q20=""),0,MAX(0,IFERROR(P20+0,0)+IFERROR(Q20+0,0)-IFERROR(R20+0,0))))</f>
        <v/>
      </c>
      <c r="T20" s="35" t="n"/>
      <c r="U20" s="33" t="n"/>
      <c r="V20" s="33" t="n"/>
      <c r="W20" s="33" t="n"/>
      <c r="X20" s="34">
        <f>IF(OR(Y20="G",Y20="D"),0,IF(AND(U20="",V20=""),0,MAX(0,IFERROR(U20+0,0)+IFERROR(V20+0,0)-IFERROR(W20+0,0))))</f>
        <v/>
      </c>
      <c r="Y20" s="35" t="n"/>
      <c r="Z20" s="33" t="n"/>
      <c r="AA20" s="33" t="n"/>
      <c r="AB20" s="33" t="n"/>
      <c r="AC20" s="34">
        <f>IF(OR(AD20="G",AD20="D"),0,IF(AND(Z20="",AA20=""),0,MAX(0,IFERROR(Z20+0,0)+IFERROR(AA20+0,0)-IFERROR(AB20+0,0))))</f>
        <v/>
      </c>
      <c r="AD20" s="35" t="n"/>
      <c r="AE20" s="33" t="n"/>
      <c r="AF20" s="33" t="n"/>
      <c r="AG20" s="33" t="n"/>
      <c r="AH20" s="34">
        <f>IF(OR(AI20="G",AI20="D"),0,IF(AND(AE20="",AF20=""),0,MAX(0,IFERROR(AE20+0,0)+IFERROR(AF20+0,0)-IFERROR(AG20+0,0))))</f>
        <v/>
      </c>
      <c r="AI20" s="35" t="n"/>
      <c r="AJ20" s="36">
        <f>IF(B20="","",IF(OR(J20="G",J20="D"),0,I20)+IF(OR(O20="G",O20="D"),0,N20)+IF(OR(T20="G",T20="D"),0,S20)+IF(OR(Y20="G",Y20="D"),0,X20)+IF(OR(AD20="G",AD20="D"),0,AC20)+IF(OR(AI20="G",AI20="D"),0,AH20))</f>
        <v/>
      </c>
      <c r="AK20" s="37">
        <f>IF(OR(B20="",AJ20=0),"-",RANK.EQ(AJ20,$AJ$6:$AJ$45,0))</f>
        <v/>
      </c>
      <c r="AL20" s="35">
        <f>IF(OR(B20="",I20=0),"-",IF(OR(J20="G",J20="D"),IF(J20="G","G","D"),COUNTIF($I$6:$I$45,"&gt;"&amp;I20)+1))</f>
        <v/>
      </c>
      <c r="AM20" s="35">
        <f>IF(OR(B20="",N20=0),"-",IF(OR(O20="G",O20="D"),IF(O20="G","G","D"),COUNTIF($N$6:$N$45,"&gt;"&amp;N20)+1))</f>
        <v/>
      </c>
      <c r="AN20" s="35">
        <f>IF(OR(B20="",S20=0),"-",IF(OR(T20="G",T20="D"),IF(T20="G","G","D"),COUNTIF($S$6:$S$45,"&gt;"&amp;S20)+1))</f>
        <v/>
      </c>
      <c r="AO20" s="35">
        <f>IF(OR(B20="",X20=0),"-",IF(OR(Y20="G",Y20="D"),IF(Y20="G","G","D"),COUNTIF($X$6:$X$45,"&gt;"&amp;X20)+1))</f>
        <v/>
      </c>
      <c r="AP20" s="35">
        <f>IF(OR(B20="",AC20=0),"-",IF(OR(AD20="G",AD20="D"),IF(AD20="G","G","D"),COUNTIF($AC$6:$AC$45,"&gt;"&amp;AC20)+1))</f>
        <v/>
      </c>
      <c r="AQ20" s="35">
        <f>IF(OR(B20="",AH20=0),"-",IF(OR(AI20="G",AI20="D"),IF(AI20="G","G","D"),COUNTIF($AH$6:$AH$45,"&gt;"&amp;AH20)+1))</f>
        <v/>
      </c>
    </row>
    <row r="21">
      <c r="A21" s="38" t="n">
        <v>16</v>
      </c>
      <c r="B21" s="39" t="n"/>
      <c r="C21" s="39" t="n"/>
      <c r="D21" s="40" t="n"/>
      <c r="E21" s="41" t="n"/>
      <c r="F21" s="42" t="n"/>
      <c r="G21" s="42" t="n"/>
      <c r="H21" s="42" t="n"/>
      <c r="I21" s="34">
        <f>IF(OR(J21="G",J21="D"),0,IF(AND(F21="",G21=""),0,MAX(0,IFERROR(F21+0,0)+IFERROR(G21+0,0)-IFERROR(H21+0,0))))</f>
        <v/>
      </c>
      <c r="J21" s="43" t="n"/>
      <c r="K21" s="42" t="n"/>
      <c r="L21" s="42" t="n"/>
      <c r="M21" s="42" t="n"/>
      <c r="N21" s="34">
        <f>IF(OR(O21="G",O21="D"),0,IF(AND(K21="",L21=""),0,MAX(0,IFERROR(K21+0,0)+IFERROR(L21+0,0)-IFERROR(M21+0,0))))</f>
        <v/>
      </c>
      <c r="O21" s="43" t="n"/>
      <c r="P21" s="42" t="n"/>
      <c r="Q21" s="42" t="n"/>
      <c r="R21" s="42" t="n"/>
      <c r="S21" s="34">
        <f>IF(OR(T21="G",T21="D"),0,IF(AND(P21="",Q21=""),0,MAX(0,IFERROR(P21+0,0)+IFERROR(Q21+0,0)-IFERROR(R21+0,0))))</f>
        <v/>
      </c>
      <c r="T21" s="43" t="n"/>
      <c r="U21" s="42" t="n"/>
      <c r="V21" s="42" t="n"/>
      <c r="W21" s="42" t="n"/>
      <c r="X21" s="34">
        <f>IF(OR(Y21="G",Y21="D"),0,IF(AND(U21="",V21=""),0,MAX(0,IFERROR(U21+0,0)+IFERROR(V21+0,0)-IFERROR(W21+0,0))))</f>
        <v/>
      </c>
      <c r="Y21" s="43" t="n"/>
      <c r="Z21" s="42" t="n"/>
      <c r="AA21" s="42" t="n"/>
      <c r="AB21" s="42" t="n"/>
      <c r="AC21" s="34">
        <f>IF(OR(AD21="G",AD21="D"),0,IF(AND(Z21="",AA21=""),0,MAX(0,IFERROR(Z21+0,0)+IFERROR(AA21+0,0)-IFERROR(AB21+0,0))))</f>
        <v/>
      </c>
      <c r="AD21" s="43" t="n"/>
      <c r="AE21" s="42" t="n"/>
      <c r="AF21" s="42" t="n"/>
      <c r="AG21" s="42" t="n"/>
      <c r="AH21" s="34">
        <f>IF(OR(AI21="G",AI21="D"),0,IF(AND(AE21="",AF21=""),0,MAX(0,IFERROR(AE21+0,0)+IFERROR(AF21+0,0)-IFERROR(AG21+0,0))))</f>
        <v/>
      </c>
      <c r="AI21" s="43" t="n"/>
      <c r="AJ21" s="36">
        <f>IF(B21="","",IF(OR(J21="G",J21="D"),0,I21)+IF(OR(O21="G",O21="D"),0,N21)+IF(OR(T21="G",T21="D"),0,S21)+IF(OR(Y21="G",Y21="D"),0,X21)+IF(OR(AD21="G",AD21="D"),0,AC21)+IF(OR(AI21="G",AI21="D"),0,AH21))</f>
        <v/>
      </c>
      <c r="AK21" s="37">
        <f>IF(OR(B21="",AJ21=0),"-",RANK.EQ(AJ21,$AJ$6:$AJ$45,0))</f>
        <v/>
      </c>
      <c r="AL21" s="43">
        <f>IF(OR(B21="",I21=0),"-",IF(OR(J21="G",J21="D"),IF(J21="G","G","D"),COUNTIF($I$6:$I$45,"&gt;"&amp;I21)+1))</f>
        <v/>
      </c>
      <c r="AM21" s="43">
        <f>IF(OR(B21="",N21=0),"-",IF(OR(O21="G",O21="D"),IF(O21="G","G","D"),COUNTIF($N$6:$N$45,"&gt;"&amp;N21)+1))</f>
        <v/>
      </c>
      <c r="AN21" s="43">
        <f>IF(OR(B21="",S21=0),"-",IF(OR(T21="G",T21="D"),IF(T21="G","G","D"),COUNTIF($S$6:$S$45,"&gt;"&amp;S21)+1))</f>
        <v/>
      </c>
      <c r="AO21" s="43">
        <f>IF(OR(B21="",X21=0),"-",IF(OR(Y21="G",Y21="D"),IF(Y21="G","G","D"),COUNTIF($X$6:$X$45,"&gt;"&amp;X21)+1))</f>
        <v/>
      </c>
      <c r="AP21" s="43">
        <f>IF(OR(B21="",AC21=0),"-",IF(OR(AD21="G",AD21="D"),IF(AD21="G","G","D"),COUNTIF($AC$6:$AC$45,"&gt;"&amp;AC21)+1))</f>
        <v/>
      </c>
      <c r="AQ21" s="43">
        <f>IF(OR(B21="",AH21=0),"-",IF(OR(AI21="G",AI21="D"),IF(AI21="G","G","D"),COUNTIF($AH$6:$AH$45,"&gt;"&amp;AH21)+1))</f>
        <v/>
      </c>
    </row>
    <row r="22">
      <c r="A22" s="29" t="n">
        <v>17</v>
      </c>
      <c r="B22" s="30" t="n"/>
      <c r="C22" s="30" t="n"/>
      <c r="D22" s="31" t="n"/>
      <c r="E22" s="32" t="n"/>
      <c r="F22" s="33" t="n"/>
      <c r="G22" s="33" t="n"/>
      <c r="H22" s="33" t="n"/>
      <c r="I22" s="34">
        <f>IF(OR(J22="G",J22="D"),0,IF(AND(F22="",G22=""),0,MAX(0,IFERROR(F22+0,0)+IFERROR(G22+0,0)-IFERROR(H22+0,0))))</f>
        <v/>
      </c>
      <c r="J22" s="35" t="n"/>
      <c r="K22" s="33" t="n"/>
      <c r="L22" s="33" t="n"/>
      <c r="M22" s="33" t="n"/>
      <c r="N22" s="34">
        <f>IF(OR(O22="G",O22="D"),0,IF(AND(K22="",L22=""),0,MAX(0,IFERROR(K22+0,0)+IFERROR(L22+0,0)-IFERROR(M22+0,0))))</f>
        <v/>
      </c>
      <c r="O22" s="35" t="n"/>
      <c r="P22" s="33" t="n"/>
      <c r="Q22" s="33" t="n"/>
      <c r="R22" s="33" t="n"/>
      <c r="S22" s="34">
        <f>IF(OR(T22="G",T22="D"),0,IF(AND(P22="",Q22=""),0,MAX(0,IFERROR(P22+0,0)+IFERROR(Q22+0,0)-IFERROR(R22+0,0))))</f>
        <v/>
      </c>
      <c r="T22" s="35" t="n"/>
      <c r="U22" s="33" t="n"/>
      <c r="V22" s="33" t="n"/>
      <c r="W22" s="33" t="n"/>
      <c r="X22" s="34">
        <f>IF(OR(Y22="G",Y22="D"),0,IF(AND(U22="",V22=""),0,MAX(0,IFERROR(U22+0,0)+IFERROR(V22+0,0)-IFERROR(W22+0,0))))</f>
        <v/>
      </c>
      <c r="Y22" s="35" t="n"/>
      <c r="Z22" s="33" t="n"/>
      <c r="AA22" s="33" t="n"/>
      <c r="AB22" s="33" t="n"/>
      <c r="AC22" s="34">
        <f>IF(OR(AD22="G",AD22="D"),0,IF(AND(Z22="",AA22=""),0,MAX(0,IFERROR(Z22+0,0)+IFERROR(AA22+0,0)-IFERROR(AB22+0,0))))</f>
        <v/>
      </c>
      <c r="AD22" s="35" t="n"/>
      <c r="AE22" s="33" t="n"/>
      <c r="AF22" s="33" t="n"/>
      <c r="AG22" s="33" t="n"/>
      <c r="AH22" s="34">
        <f>IF(OR(AI22="G",AI22="D"),0,IF(AND(AE22="",AF22=""),0,MAX(0,IFERROR(AE22+0,0)+IFERROR(AF22+0,0)-IFERROR(AG22+0,0))))</f>
        <v/>
      </c>
      <c r="AI22" s="35" t="n"/>
      <c r="AJ22" s="36">
        <f>IF(B22="","",IF(OR(J22="G",J22="D"),0,I22)+IF(OR(O22="G",O22="D"),0,N22)+IF(OR(T22="G",T22="D"),0,S22)+IF(OR(Y22="G",Y22="D"),0,X22)+IF(OR(AD22="G",AD22="D"),0,AC22)+IF(OR(AI22="G",AI22="D"),0,AH22))</f>
        <v/>
      </c>
      <c r="AK22" s="37">
        <f>IF(OR(B22="",AJ22=0),"-",RANK.EQ(AJ22,$AJ$6:$AJ$45,0))</f>
        <v/>
      </c>
      <c r="AL22" s="35">
        <f>IF(OR(B22="",I22=0),"-",IF(OR(J22="G",J22="D"),IF(J22="G","G","D"),COUNTIF($I$6:$I$45,"&gt;"&amp;I22)+1))</f>
        <v/>
      </c>
      <c r="AM22" s="35">
        <f>IF(OR(B22="",N22=0),"-",IF(OR(O22="G",O22="D"),IF(O22="G","G","D"),COUNTIF($N$6:$N$45,"&gt;"&amp;N22)+1))</f>
        <v/>
      </c>
      <c r="AN22" s="35">
        <f>IF(OR(B22="",S22=0),"-",IF(OR(T22="G",T22="D"),IF(T22="G","G","D"),COUNTIF($S$6:$S$45,"&gt;"&amp;S22)+1))</f>
        <v/>
      </c>
      <c r="AO22" s="35">
        <f>IF(OR(B22="",X22=0),"-",IF(OR(Y22="G",Y22="D"),IF(Y22="G","G","D"),COUNTIF($X$6:$X$45,"&gt;"&amp;X22)+1))</f>
        <v/>
      </c>
      <c r="AP22" s="35">
        <f>IF(OR(B22="",AC22=0),"-",IF(OR(AD22="G",AD22="D"),IF(AD22="G","G","D"),COUNTIF($AC$6:$AC$45,"&gt;"&amp;AC22)+1))</f>
        <v/>
      </c>
      <c r="AQ22" s="35">
        <f>IF(OR(B22="",AH22=0),"-",IF(OR(AI22="G",AI22="D"),IF(AI22="G","G","D"),COUNTIF($AH$6:$AH$45,"&gt;"&amp;AH22)+1))</f>
        <v/>
      </c>
    </row>
    <row r="23">
      <c r="A23" s="38" t="n">
        <v>18</v>
      </c>
      <c r="B23" s="39" t="n"/>
      <c r="C23" s="39" t="n"/>
      <c r="D23" s="40" t="n"/>
      <c r="E23" s="41" t="n"/>
      <c r="F23" s="42" t="n"/>
      <c r="G23" s="42" t="n"/>
      <c r="H23" s="42" t="n"/>
      <c r="I23" s="34">
        <f>IF(OR(J23="G",J23="D"),0,IF(AND(F23="",G23=""),0,MAX(0,IFERROR(F23+0,0)+IFERROR(G23+0,0)-IFERROR(H23+0,0))))</f>
        <v/>
      </c>
      <c r="J23" s="43" t="n"/>
      <c r="K23" s="42" t="n"/>
      <c r="L23" s="42" t="n"/>
      <c r="M23" s="42" t="n"/>
      <c r="N23" s="34">
        <f>IF(OR(O23="G",O23="D"),0,IF(AND(K23="",L23=""),0,MAX(0,IFERROR(K23+0,0)+IFERROR(L23+0,0)-IFERROR(M23+0,0))))</f>
        <v/>
      </c>
      <c r="O23" s="43" t="n"/>
      <c r="P23" s="42" t="n"/>
      <c r="Q23" s="42" t="n"/>
      <c r="R23" s="42" t="n"/>
      <c r="S23" s="34">
        <f>IF(OR(T23="G",T23="D"),0,IF(AND(P23="",Q23=""),0,MAX(0,IFERROR(P23+0,0)+IFERROR(Q23+0,0)-IFERROR(R23+0,0))))</f>
        <v/>
      </c>
      <c r="T23" s="43" t="n"/>
      <c r="U23" s="42" t="n"/>
      <c r="V23" s="42" t="n"/>
      <c r="W23" s="42" t="n"/>
      <c r="X23" s="34">
        <f>IF(OR(Y23="G",Y23="D"),0,IF(AND(U23="",V23=""),0,MAX(0,IFERROR(U23+0,0)+IFERROR(V23+0,0)-IFERROR(W23+0,0))))</f>
        <v/>
      </c>
      <c r="Y23" s="43" t="n"/>
      <c r="Z23" s="42" t="n"/>
      <c r="AA23" s="42" t="n"/>
      <c r="AB23" s="42" t="n"/>
      <c r="AC23" s="34">
        <f>IF(OR(AD23="G",AD23="D"),0,IF(AND(Z23="",AA23=""),0,MAX(0,IFERROR(Z23+0,0)+IFERROR(AA23+0,0)-IFERROR(AB23+0,0))))</f>
        <v/>
      </c>
      <c r="AD23" s="43" t="n"/>
      <c r="AE23" s="42" t="n"/>
      <c r="AF23" s="42" t="n"/>
      <c r="AG23" s="42" t="n"/>
      <c r="AH23" s="34">
        <f>IF(OR(AI23="G",AI23="D"),0,IF(AND(AE23="",AF23=""),0,MAX(0,IFERROR(AE23+0,0)+IFERROR(AF23+0,0)-IFERROR(AG23+0,0))))</f>
        <v/>
      </c>
      <c r="AI23" s="43" t="n"/>
      <c r="AJ23" s="36">
        <f>IF(B23="","",IF(OR(J23="G",J23="D"),0,I23)+IF(OR(O23="G",O23="D"),0,N23)+IF(OR(T23="G",T23="D"),0,S23)+IF(OR(Y23="G",Y23="D"),0,X23)+IF(OR(AD23="G",AD23="D"),0,AC23)+IF(OR(AI23="G",AI23="D"),0,AH23))</f>
        <v/>
      </c>
      <c r="AK23" s="37">
        <f>IF(OR(B23="",AJ23=0),"-",RANK.EQ(AJ23,$AJ$6:$AJ$45,0))</f>
        <v/>
      </c>
      <c r="AL23" s="43">
        <f>IF(OR(B23="",I23=0),"-",IF(OR(J23="G",J23="D"),IF(J23="G","G","D"),COUNTIF($I$6:$I$45,"&gt;"&amp;I23)+1))</f>
        <v/>
      </c>
      <c r="AM23" s="43">
        <f>IF(OR(B23="",N23=0),"-",IF(OR(O23="G",O23="D"),IF(O23="G","G","D"),COUNTIF($N$6:$N$45,"&gt;"&amp;N23)+1))</f>
        <v/>
      </c>
      <c r="AN23" s="43">
        <f>IF(OR(B23="",S23=0),"-",IF(OR(T23="G",T23="D"),IF(T23="G","G","D"),COUNTIF($S$6:$S$45,"&gt;"&amp;S23)+1))</f>
        <v/>
      </c>
      <c r="AO23" s="43">
        <f>IF(OR(B23="",X23=0),"-",IF(OR(Y23="G",Y23="D"),IF(Y23="G","G","D"),COUNTIF($X$6:$X$45,"&gt;"&amp;X23)+1))</f>
        <v/>
      </c>
      <c r="AP23" s="43">
        <f>IF(OR(B23="",AC23=0),"-",IF(OR(AD23="G",AD23="D"),IF(AD23="G","G","D"),COUNTIF($AC$6:$AC$45,"&gt;"&amp;AC23)+1))</f>
        <v/>
      </c>
      <c r="AQ23" s="43">
        <f>IF(OR(B23="",AH23=0),"-",IF(OR(AI23="G",AI23="D"),IF(AI23="G","G","D"),COUNTIF($AH$6:$AH$45,"&gt;"&amp;AH23)+1))</f>
        <v/>
      </c>
    </row>
    <row r="24">
      <c r="A24" s="29" t="n">
        <v>19</v>
      </c>
      <c r="B24" s="30" t="n"/>
      <c r="C24" s="30" t="n"/>
      <c r="D24" s="31" t="n"/>
      <c r="E24" s="32" t="n"/>
      <c r="F24" s="33" t="n"/>
      <c r="G24" s="33" t="n"/>
      <c r="H24" s="33" t="n"/>
      <c r="I24" s="34">
        <f>IF(OR(J24="G",J24="D"),0,IF(AND(F24="",G24=""),0,MAX(0,IFERROR(F24+0,0)+IFERROR(G24+0,0)-IFERROR(H24+0,0))))</f>
        <v/>
      </c>
      <c r="J24" s="35" t="n"/>
      <c r="K24" s="33" t="n"/>
      <c r="L24" s="33" t="n"/>
      <c r="M24" s="33" t="n"/>
      <c r="N24" s="34">
        <f>IF(OR(O24="G",O24="D"),0,IF(AND(K24="",L24=""),0,MAX(0,IFERROR(K24+0,0)+IFERROR(L24+0,0)-IFERROR(M24+0,0))))</f>
        <v/>
      </c>
      <c r="O24" s="35" t="n"/>
      <c r="P24" s="33" t="n"/>
      <c r="Q24" s="33" t="n"/>
      <c r="R24" s="33" t="n"/>
      <c r="S24" s="34">
        <f>IF(OR(T24="G",T24="D"),0,IF(AND(P24="",Q24=""),0,MAX(0,IFERROR(P24+0,0)+IFERROR(Q24+0,0)-IFERROR(R24+0,0))))</f>
        <v/>
      </c>
      <c r="T24" s="35" t="n"/>
      <c r="U24" s="33" t="n"/>
      <c r="V24" s="33" t="n"/>
      <c r="W24" s="33" t="n"/>
      <c r="X24" s="34">
        <f>IF(OR(Y24="G",Y24="D"),0,IF(AND(U24="",V24=""),0,MAX(0,IFERROR(U24+0,0)+IFERROR(V24+0,0)-IFERROR(W24+0,0))))</f>
        <v/>
      </c>
      <c r="Y24" s="35" t="n"/>
      <c r="Z24" s="33" t="n"/>
      <c r="AA24" s="33" t="n"/>
      <c r="AB24" s="33" t="n"/>
      <c r="AC24" s="34">
        <f>IF(OR(AD24="G",AD24="D"),0,IF(AND(Z24="",AA24=""),0,MAX(0,IFERROR(Z24+0,0)+IFERROR(AA24+0,0)-IFERROR(AB24+0,0))))</f>
        <v/>
      </c>
      <c r="AD24" s="35" t="n"/>
      <c r="AE24" s="33" t="n"/>
      <c r="AF24" s="33" t="n"/>
      <c r="AG24" s="33" t="n"/>
      <c r="AH24" s="34">
        <f>IF(OR(AI24="G",AI24="D"),0,IF(AND(AE24="",AF24=""),0,MAX(0,IFERROR(AE24+0,0)+IFERROR(AF24+0,0)-IFERROR(AG24+0,0))))</f>
        <v/>
      </c>
      <c r="AI24" s="35" t="n"/>
      <c r="AJ24" s="36">
        <f>IF(B24="","",IF(OR(J24="G",J24="D"),0,I24)+IF(OR(O24="G",O24="D"),0,N24)+IF(OR(T24="G",T24="D"),0,S24)+IF(OR(Y24="G",Y24="D"),0,X24)+IF(OR(AD24="G",AD24="D"),0,AC24)+IF(OR(AI24="G",AI24="D"),0,AH24))</f>
        <v/>
      </c>
      <c r="AK24" s="37">
        <f>IF(OR(B24="",AJ24=0),"-",RANK.EQ(AJ24,$AJ$6:$AJ$45,0))</f>
        <v/>
      </c>
      <c r="AL24" s="35">
        <f>IF(OR(B24="",I24=0),"-",IF(OR(J24="G",J24="D"),IF(J24="G","G","D"),COUNTIF($I$6:$I$45,"&gt;"&amp;I24)+1))</f>
        <v/>
      </c>
      <c r="AM24" s="35">
        <f>IF(OR(B24="",N24=0),"-",IF(OR(O24="G",O24="D"),IF(O24="G","G","D"),COUNTIF($N$6:$N$45,"&gt;"&amp;N24)+1))</f>
        <v/>
      </c>
      <c r="AN24" s="35">
        <f>IF(OR(B24="",S24=0),"-",IF(OR(T24="G",T24="D"),IF(T24="G","G","D"),COUNTIF($S$6:$S$45,"&gt;"&amp;S24)+1))</f>
        <v/>
      </c>
      <c r="AO24" s="35">
        <f>IF(OR(B24="",X24=0),"-",IF(OR(Y24="G",Y24="D"),IF(Y24="G","G","D"),COUNTIF($X$6:$X$45,"&gt;"&amp;X24)+1))</f>
        <v/>
      </c>
      <c r="AP24" s="35">
        <f>IF(OR(B24="",AC24=0),"-",IF(OR(AD24="G",AD24="D"),IF(AD24="G","G","D"),COUNTIF($AC$6:$AC$45,"&gt;"&amp;AC24)+1))</f>
        <v/>
      </c>
      <c r="AQ24" s="35">
        <f>IF(OR(B24="",AH24=0),"-",IF(OR(AI24="G",AI24="D"),IF(AI24="G","G","D"),COUNTIF($AH$6:$AH$45,"&gt;"&amp;AH24)+1))</f>
        <v/>
      </c>
    </row>
    <row r="25">
      <c r="A25" s="38" t="n">
        <v>20</v>
      </c>
      <c r="B25" s="39" t="n"/>
      <c r="C25" s="39" t="n"/>
      <c r="D25" s="40" t="n"/>
      <c r="E25" s="41" t="n"/>
      <c r="F25" s="42" t="n"/>
      <c r="G25" s="42" t="n"/>
      <c r="H25" s="42" t="n"/>
      <c r="I25" s="34">
        <f>IF(OR(J25="G",J25="D"),0,IF(AND(F25="",G25=""),0,MAX(0,IFERROR(F25+0,0)+IFERROR(G25+0,0)-IFERROR(H25+0,0))))</f>
        <v/>
      </c>
      <c r="J25" s="43" t="n"/>
      <c r="K25" s="42" t="n"/>
      <c r="L25" s="42" t="n"/>
      <c r="M25" s="42" t="n"/>
      <c r="N25" s="34">
        <f>IF(OR(O25="G",O25="D"),0,IF(AND(K25="",L25=""),0,MAX(0,IFERROR(K25+0,0)+IFERROR(L25+0,0)-IFERROR(M25+0,0))))</f>
        <v/>
      </c>
      <c r="O25" s="43" t="n"/>
      <c r="P25" s="42" t="n"/>
      <c r="Q25" s="42" t="n"/>
      <c r="R25" s="42" t="n"/>
      <c r="S25" s="34">
        <f>IF(OR(T25="G",T25="D"),0,IF(AND(P25="",Q25=""),0,MAX(0,IFERROR(P25+0,0)+IFERROR(Q25+0,0)-IFERROR(R25+0,0))))</f>
        <v/>
      </c>
      <c r="T25" s="43" t="n"/>
      <c r="U25" s="42" t="n"/>
      <c r="V25" s="42" t="n"/>
      <c r="W25" s="42" t="n"/>
      <c r="X25" s="34">
        <f>IF(OR(Y25="G",Y25="D"),0,IF(AND(U25="",V25=""),0,MAX(0,IFERROR(U25+0,0)+IFERROR(V25+0,0)-IFERROR(W25+0,0))))</f>
        <v/>
      </c>
      <c r="Y25" s="43" t="n"/>
      <c r="Z25" s="42" t="n"/>
      <c r="AA25" s="42" t="n"/>
      <c r="AB25" s="42" t="n"/>
      <c r="AC25" s="34">
        <f>IF(OR(AD25="G",AD25="D"),0,IF(AND(Z25="",AA25=""),0,MAX(0,IFERROR(Z25+0,0)+IFERROR(AA25+0,0)-IFERROR(AB25+0,0))))</f>
        <v/>
      </c>
      <c r="AD25" s="43" t="n"/>
      <c r="AE25" s="42" t="n"/>
      <c r="AF25" s="42" t="n"/>
      <c r="AG25" s="42" t="n"/>
      <c r="AH25" s="34">
        <f>IF(OR(AI25="G",AI25="D"),0,IF(AND(AE25="",AF25=""),0,MAX(0,IFERROR(AE25+0,0)+IFERROR(AF25+0,0)-IFERROR(AG25+0,0))))</f>
        <v/>
      </c>
      <c r="AI25" s="43" t="n"/>
      <c r="AJ25" s="36">
        <f>IF(B25="","",IF(OR(J25="G",J25="D"),0,I25)+IF(OR(O25="G",O25="D"),0,N25)+IF(OR(T25="G",T25="D"),0,S25)+IF(OR(Y25="G",Y25="D"),0,X25)+IF(OR(AD25="G",AD25="D"),0,AC25)+IF(OR(AI25="G",AI25="D"),0,AH25))</f>
        <v/>
      </c>
      <c r="AK25" s="37">
        <f>IF(OR(B25="",AJ25=0),"-",RANK.EQ(AJ25,$AJ$6:$AJ$45,0))</f>
        <v/>
      </c>
      <c r="AL25" s="43">
        <f>IF(OR(B25="",I25=0),"-",IF(OR(J25="G",J25="D"),IF(J25="G","G","D"),COUNTIF($I$6:$I$45,"&gt;"&amp;I25)+1))</f>
        <v/>
      </c>
      <c r="AM25" s="43">
        <f>IF(OR(B25="",N25=0),"-",IF(OR(O25="G",O25="D"),IF(O25="G","G","D"),COUNTIF($N$6:$N$45,"&gt;"&amp;N25)+1))</f>
        <v/>
      </c>
      <c r="AN25" s="43">
        <f>IF(OR(B25="",S25=0),"-",IF(OR(T25="G",T25="D"),IF(T25="G","G","D"),COUNTIF($S$6:$S$45,"&gt;"&amp;S25)+1))</f>
        <v/>
      </c>
      <c r="AO25" s="43">
        <f>IF(OR(B25="",X25=0),"-",IF(OR(Y25="G",Y25="D"),IF(Y25="G","G","D"),COUNTIF($X$6:$X$45,"&gt;"&amp;X25)+1))</f>
        <v/>
      </c>
      <c r="AP25" s="43">
        <f>IF(OR(B25="",AC25=0),"-",IF(OR(AD25="G",AD25="D"),IF(AD25="G","G","D"),COUNTIF($AC$6:$AC$45,"&gt;"&amp;AC25)+1))</f>
        <v/>
      </c>
      <c r="AQ25" s="43">
        <f>IF(OR(B25="",AH25=0),"-",IF(OR(AI25="G",AI25="D"),IF(AI25="G","G","D"),COUNTIF($AH$6:$AH$45,"&gt;"&amp;AH25)+1))</f>
        <v/>
      </c>
    </row>
    <row r="26">
      <c r="A26" s="29" t="n">
        <v>21</v>
      </c>
      <c r="B26" s="30" t="n"/>
      <c r="C26" s="30" t="n"/>
      <c r="D26" s="31" t="n"/>
      <c r="E26" s="32" t="n"/>
      <c r="F26" s="33" t="n"/>
      <c r="G26" s="33" t="n"/>
      <c r="H26" s="33" t="n"/>
      <c r="I26" s="34">
        <f>IF(OR(J26="G",J26="D"),0,IF(AND(F26="",G26=""),0,MAX(0,IFERROR(F26+0,0)+IFERROR(G26+0,0)-IFERROR(H26+0,0))))</f>
        <v/>
      </c>
      <c r="J26" s="35" t="n"/>
      <c r="K26" s="33" t="n"/>
      <c r="L26" s="33" t="n"/>
      <c r="M26" s="33" t="n"/>
      <c r="N26" s="34">
        <f>IF(OR(O26="G",O26="D"),0,IF(AND(K26="",L26=""),0,MAX(0,IFERROR(K26+0,0)+IFERROR(L26+0,0)-IFERROR(M26+0,0))))</f>
        <v/>
      </c>
      <c r="O26" s="35" t="n"/>
      <c r="P26" s="33" t="n"/>
      <c r="Q26" s="33" t="n"/>
      <c r="R26" s="33" t="n"/>
      <c r="S26" s="34">
        <f>IF(OR(T26="G",T26="D"),0,IF(AND(P26="",Q26=""),0,MAX(0,IFERROR(P26+0,0)+IFERROR(Q26+0,0)-IFERROR(R26+0,0))))</f>
        <v/>
      </c>
      <c r="T26" s="35" t="n"/>
      <c r="U26" s="33" t="n"/>
      <c r="V26" s="33" t="n"/>
      <c r="W26" s="33" t="n"/>
      <c r="X26" s="34">
        <f>IF(OR(Y26="G",Y26="D"),0,IF(AND(U26="",V26=""),0,MAX(0,IFERROR(U26+0,0)+IFERROR(V26+0,0)-IFERROR(W26+0,0))))</f>
        <v/>
      </c>
      <c r="Y26" s="35" t="n"/>
      <c r="Z26" s="33" t="n"/>
      <c r="AA26" s="33" t="n"/>
      <c r="AB26" s="33" t="n"/>
      <c r="AC26" s="34">
        <f>IF(OR(AD26="G",AD26="D"),0,IF(AND(Z26="",AA26=""),0,MAX(0,IFERROR(Z26+0,0)+IFERROR(AA26+0,0)-IFERROR(AB26+0,0))))</f>
        <v/>
      </c>
      <c r="AD26" s="35" t="n"/>
      <c r="AE26" s="33" t="n"/>
      <c r="AF26" s="33" t="n"/>
      <c r="AG26" s="33" t="n"/>
      <c r="AH26" s="34">
        <f>IF(OR(AI26="G",AI26="D"),0,IF(AND(AE26="",AF26=""),0,MAX(0,IFERROR(AE26+0,0)+IFERROR(AF26+0,0)-IFERROR(AG26+0,0))))</f>
        <v/>
      </c>
      <c r="AI26" s="35" t="n"/>
      <c r="AJ26" s="36">
        <f>IF(B26="","",IF(OR(J26="G",J26="D"),0,I26)+IF(OR(O26="G",O26="D"),0,N26)+IF(OR(T26="G",T26="D"),0,S26)+IF(OR(Y26="G",Y26="D"),0,X26)+IF(OR(AD26="G",AD26="D"),0,AC26)+IF(OR(AI26="G",AI26="D"),0,AH26))</f>
        <v/>
      </c>
      <c r="AK26" s="37">
        <f>IF(OR(B26="",AJ26=0),"-",RANK.EQ(AJ26,$AJ$6:$AJ$45,0))</f>
        <v/>
      </c>
      <c r="AL26" s="35">
        <f>IF(OR(B26="",I26=0),"-",IF(OR(J26="G",J26="D"),IF(J26="G","G","D"),COUNTIF($I$6:$I$45,"&gt;"&amp;I26)+1))</f>
        <v/>
      </c>
      <c r="AM26" s="35">
        <f>IF(OR(B26="",N26=0),"-",IF(OR(O26="G",O26="D"),IF(O26="G","G","D"),COUNTIF($N$6:$N$45,"&gt;"&amp;N26)+1))</f>
        <v/>
      </c>
      <c r="AN26" s="35">
        <f>IF(OR(B26="",S26=0),"-",IF(OR(T26="G",T26="D"),IF(T26="G","G","D"),COUNTIF($S$6:$S$45,"&gt;"&amp;S26)+1))</f>
        <v/>
      </c>
      <c r="AO26" s="35">
        <f>IF(OR(B26="",X26=0),"-",IF(OR(Y26="G",Y26="D"),IF(Y26="G","G","D"),COUNTIF($X$6:$X$45,"&gt;"&amp;X26)+1))</f>
        <v/>
      </c>
      <c r="AP26" s="35">
        <f>IF(OR(B26="",AC26=0),"-",IF(OR(AD26="G",AD26="D"),IF(AD26="G","G","D"),COUNTIF($AC$6:$AC$45,"&gt;"&amp;AC26)+1))</f>
        <v/>
      </c>
      <c r="AQ26" s="35">
        <f>IF(OR(B26="",AH26=0),"-",IF(OR(AI26="G",AI26="D"),IF(AI26="G","G","D"),COUNTIF($AH$6:$AH$45,"&gt;"&amp;AH26)+1))</f>
        <v/>
      </c>
    </row>
    <row r="27">
      <c r="A27" s="38" t="n">
        <v>22</v>
      </c>
      <c r="B27" s="39" t="n"/>
      <c r="C27" s="39" t="n"/>
      <c r="D27" s="40" t="n"/>
      <c r="E27" s="41" t="n"/>
      <c r="F27" s="42" t="n"/>
      <c r="G27" s="42" t="n"/>
      <c r="H27" s="42" t="n"/>
      <c r="I27" s="34">
        <f>IF(OR(J27="G",J27="D"),0,IF(AND(F27="",G27=""),0,MAX(0,IFERROR(F27+0,0)+IFERROR(G27+0,0)-IFERROR(H27+0,0))))</f>
        <v/>
      </c>
      <c r="J27" s="43" t="n"/>
      <c r="K27" s="42" t="n"/>
      <c r="L27" s="42" t="n"/>
      <c r="M27" s="42" t="n"/>
      <c r="N27" s="34">
        <f>IF(OR(O27="G",O27="D"),0,IF(AND(K27="",L27=""),0,MAX(0,IFERROR(K27+0,0)+IFERROR(L27+0,0)-IFERROR(M27+0,0))))</f>
        <v/>
      </c>
      <c r="O27" s="43" t="n"/>
      <c r="P27" s="42" t="n"/>
      <c r="Q27" s="42" t="n"/>
      <c r="R27" s="42" t="n"/>
      <c r="S27" s="34">
        <f>IF(OR(T27="G",T27="D"),0,IF(AND(P27="",Q27=""),0,MAX(0,IFERROR(P27+0,0)+IFERROR(Q27+0,0)-IFERROR(R27+0,0))))</f>
        <v/>
      </c>
      <c r="T27" s="43" t="n"/>
      <c r="U27" s="42" t="n"/>
      <c r="V27" s="42" t="n"/>
      <c r="W27" s="42" t="n"/>
      <c r="X27" s="34">
        <f>IF(OR(Y27="G",Y27="D"),0,IF(AND(U27="",V27=""),0,MAX(0,IFERROR(U27+0,0)+IFERROR(V27+0,0)-IFERROR(W27+0,0))))</f>
        <v/>
      </c>
      <c r="Y27" s="43" t="n"/>
      <c r="Z27" s="42" t="n"/>
      <c r="AA27" s="42" t="n"/>
      <c r="AB27" s="42" t="n"/>
      <c r="AC27" s="34">
        <f>IF(OR(AD27="G",AD27="D"),0,IF(AND(Z27="",AA27=""),0,MAX(0,IFERROR(Z27+0,0)+IFERROR(AA27+0,0)-IFERROR(AB27+0,0))))</f>
        <v/>
      </c>
      <c r="AD27" s="43" t="n"/>
      <c r="AE27" s="42" t="n"/>
      <c r="AF27" s="42" t="n"/>
      <c r="AG27" s="42" t="n"/>
      <c r="AH27" s="34">
        <f>IF(OR(AI27="G",AI27="D"),0,IF(AND(AE27="",AF27=""),0,MAX(0,IFERROR(AE27+0,0)+IFERROR(AF27+0,0)-IFERROR(AG27+0,0))))</f>
        <v/>
      </c>
      <c r="AI27" s="43" t="n"/>
      <c r="AJ27" s="36">
        <f>IF(B27="","",IF(OR(J27="G",J27="D"),0,I27)+IF(OR(O27="G",O27="D"),0,N27)+IF(OR(T27="G",T27="D"),0,S27)+IF(OR(Y27="G",Y27="D"),0,X27)+IF(OR(AD27="G",AD27="D"),0,AC27)+IF(OR(AI27="G",AI27="D"),0,AH27))</f>
        <v/>
      </c>
      <c r="AK27" s="37">
        <f>IF(OR(B27="",AJ27=0),"-",RANK.EQ(AJ27,$AJ$6:$AJ$45,0))</f>
        <v/>
      </c>
      <c r="AL27" s="43">
        <f>IF(OR(B27="",I27=0),"-",IF(OR(J27="G",J27="D"),IF(J27="G","G","D"),COUNTIF($I$6:$I$45,"&gt;"&amp;I27)+1))</f>
        <v/>
      </c>
      <c r="AM27" s="43">
        <f>IF(OR(B27="",N27=0),"-",IF(OR(O27="G",O27="D"),IF(O27="G","G","D"),COUNTIF($N$6:$N$45,"&gt;"&amp;N27)+1))</f>
        <v/>
      </c>
      <c r="AN27" s="43">
        <f>IF(OR(B27="",S27=0),"-",IF(OR(T27="G",T27="D"),IF(T27="G","G","D"),COUNTIF($S$6:$S$45,"&gt;"&amp;S27)+1))</f>
        <v/>
      </c>
      <c r="AO27" s="43">
        <f>IF(OR(B27="",X27=0),"-",IF(OR(Y27="G",Y27="D"),IF(Y27="G","G","D"),COUNTIF($X$6:$X$45,"&gt;"&amp;X27)+1))</f>
        <v/>
      </c>
      <c r="AP27" s="43">
        <f>IF(OR(B27="",AC27=0),"-",IF(OR(AD27="G",AD27="D"),IF(AD27="G","G","D"),COUNTIF($AC$6:$AC$45,"&gt;"&amp;AC27)+1))</f>
        <v/>
      </c>
      <c r="AQ27" s="43">
        <f>IF(OR(B27="",AH27=0),"-",IF(OR(AI27="G",AI27="D"),IF(AI27="G","G","D"),COUNTIF($AH$6:$AH$45,"&gt;"&amp;AH27)+1))</f>
        <v/>
      </c>
    </row>
    <row r="28">
      <c r="A28" s="29" t="n">
        <v>23</v>
      </c>
      <c r="B28" s="30" t="n"/>
      <c r="C28" s="30" t="n"/>
      <c r="D28" s="31" t="n"/>
      <c r="E28" s="32" t="n"/>
      <c r="F28" s="33" t="n"/>
      <c r="G28" s="33" t="n"/>
      <c r="H28" s="33" t="n"/>
      <c r="I28" s="34">
        <f>IF(OR(J28="G",J28="D"),0,IF(AND(F28="",G28=""),0,MAX(0,IFERROR(F28+0,0)+IFERROR(G28+0,0)-IFERROR(H28+0,0))))</f>
        <v/>
      </c>
      <c r="J28" s="35" t="n"/>
      <c r="K28" s="33" t="n"/>
      <c r="L28" s="33" t="n"/>
      <c r="M28" s="33" t="n"/>
      <c r="N28" s="34">
        <f>IF(OR(O28="G",O28="D"),0,IF(AND(K28="",L28=""),0,MAX(0,IFERROR(K28+0,0)+IFERROR(L28+0,0)-IFERROR(M28+0,0))))</f>
        <v/>
      </c>
      <c r="O28" s="35" t="n"/>
      <c r="P28" s="33" t="n"/>
      <c r="Q28" s="33" t="n"/>
      <c r="R28" s="33" t="n"/>
      <c r="S28" s="34">
        <f>IF(OR(T28="G",T28="D"),0,IF(AND(P28="",Q28=""),0,MAX(0,IFERROR(P28+0,0)+IFERROR(Q28+0,0)-IFERROR(R28+0,0))))</f>
        <v/>
      </c>
      <c r="T28" s="35" t="n"/>
      <c r="U28" s="33" t="n"/>
      <c r="V28" s="33" t="n"/>
      <c r="W28" s="33" t="n"/>
      <c r="X28" s="34">
        <f>IF(OR(Y28="G",Y28="D"),0,IF(AND(U28="",V28=""),0,MAX(0,IFERROR(U28+0,0)+IFERROR(V28+0,0)-IFERROR(W28+0,0))))</f>
        <v/>
      </c>
      <c r="Y28" s="35" t="n"/>
      <c r="Z28" s="33" t="n"/>
      <c r="AA28" s="33" t="n"/>
      <c r="AB28" s="33" t="n"/>
      <c r="AC28" s="34">
        <f>IF(OR(AD28="G",AD28="D"),0,IF(AND(Z28="",AA28=""),0,MAX(0,IFERROR(Z28+0,0)+IFERROR(AA28+0,0)-IFERROR(AB28+0,0))))</f>
        <v/>
      </c>
      <c r="AD28" s="35" t="n"/>
      <c r="AE28" s="33" t="n"/>
      <c r="AF28" s="33" t="n"/>
      <c r="AG28" s="33" t="n"/>
      <c r="AH28" s="34">
        <f>IF(OR(AI28="G",AI28="D"),0,IF(AND(AE28="",AF28=""),0,MAX(0,IFERROR(AE28+0,0)+IFERROR(AF28+0,0)-IFERROR(AG28+0,0))))</f>
        <v/>
      </c>
      <c r="AI28" s="35" t="n"/>
      <c r="AJ28" s="36">
        <f>IF(B28="","",IF(OR(J28="G",J28="D"),0,I28)+IF(OR(O28="G",O28="D"),0,N28)+IF(OR(T28="G",T28="D"),0,S28)+IF(OR(Y28="G",Y28="D"),0,X28)+IF(OR(AD28="G",AD28="D"),0,AC28)+IF(OR(AI28="G",AI28="D"),0,AH28))</f>
        <v/>
      </c>
      <c r="AK28" s="37">
        <f>IF(OR(B28="",AJ28=0),"-",RANK.EQ(AJ28,$AJ$6:$AJ$45,0))</f>
        <v/>
      </c>
      <c r="AL28" s="35">
        <f>IF(OR(B28="",I28=0),"-",IF(OR(J28="G",J28="D"),IF(J28="G","G","D"),COUNTIF($I$6:$I$45,"&gt;"&amp;I28)+1))</f>
        <v/>
      </c>
      <c r="AM28" s="35">
        <f>IF(OR(B28="",N28=0),"-",IF(OR(O28="G",O28="D"),IF(O28="G","G","D"),COUNTIF($N$6:$N$45,"&gt;"&amp;N28)+1))</f>
        <v/>
      </c>
      <c r="AN28" s="35">
        <f>IF(OR(B28="",S28=0),"-",IF(OR(T28="G",T28="D"),IF(T28="G","G","D"),COUNTIF($S$6:$S$45,"&gt;"&amp;S28)+1))</f>
        <v/>
      </c>
      <c r="AO28" s="35">
        <f>IF(OR(B28="",X28=0),"-",IF(OR(Y28="G",Y28="D"),IF(Y28="G","G","D"),COUNTIF($X$6:$X$45,"&gt;"&amp;X28)+1))</f>
        <v/>
      </c>
      <c r="AP28" s="35">
        <f>IF(OR(B28="",AC28=0),"-",IF(OR(AD28="G",AD28="D"),IF(AD28="G","G","D"),COUNTIF($AC$6:$AC$45,"&gt;"&amp;AC28)+1))</f>
        <v/>
      </c>
      <c r="AQ28" s="35">
        <f>IF(OR(B28="",AH28=0),"-",IF(OR(AI28="G",AI28="D"),IF(AI28="G","G","D"),COUNTIF($AH$6:$AH$45,"&gt;"&amp;AH28)+1))</f>
        <v/>
      </c>
    </row>
    <row r="29">
      <c r="A29" s="38" t="n">
        <v>24</v>
      </c>
      <c r="B29" s="39" t="n"/>
      <c r="C29" s="39" t="n"/>
      <c r="D29" s="40" t="n"/>
      <c r="E29" s="41" t="n"/>
      <c r="F29" s="42" t="n"/>
      <c r="G29" s="42" t="n"/>
      <c r="H29" s="42" t="n"/>
      <c r="I29" s="34">
        <f>IF(OR(J29="G",J29="D"),0,IF(AND(F29="",G29=""),0,MAX(0,IFERROR(F29+0,0)+IFERROR(G29+0,0)-IFERROR(H29+0,0))))</f>
        <v/>
      </c>
      <c r="J29" s="43" t="n"/>
      <c r="K29" s="42" t="n"/>
      <c r="L29" s="42" t="n"/>
      <c r="M29" s="42" t="n"/>
      <c r="N29" s="34">
        <f>IF(OR(O29="G",O29="D"),0,IF(AND(K29="",L29=""),0,MAX(0,IFERROR(K29+0,0)+IFERROR(L29+0,0)-IFERROR(M29+0,0))))</f>
        <v/>
      </c>
      <c r="O29" s="43" t="n"/>
      <c r="P29" s="42" t="n"/>
      <c r="Q29" s="42" t="n"/>
      <c r="R29" s="42" t="n"/>
      <c r="S29" s="34">
        <f>IF(OR(T29="G",T29="D"),0,IF(AND(P29="",Q29=""),0,MAX(0,IFERROR(P29+0,0)+IFERROR(Q29+0,0)-IFERROR(R29+0,0))))</f>
        <v/>
      </c>
      <c r="T29" s="43" t="n"/>
      <c r="U29" s="42" t="n"/>
      <c r="V29" s="42" t="n"/>
      <c r="W29" s="42" t="n"/>
      <c r="X29" s="34">
        <f>IF(OR(Y29="G",Y29="D"),0,IF(AND(U29="",V29=""),0,MAX(0,IFERROR(U29+0,0)+IFERROR(V29+0,0)-IFERROR(W29+0,0))))</f>
        <v/>
      </c>
      <c r="Y29" s="43" t="n"/>
      <c r="Z29" s="42" t="n"/>
      <c r="AA29" s="42" t="n"/>
      <c r="AB29" s="42" t="n"/>
      <c r="AC29" s="34">
        <f>IF(OR(AD29="G",AD29="D"),0,IF(AND(Z29="",AA29=""),0,MAX(0,IFERROR(Z29+0,0)+IFERROR(AA29+0,0)-IFERROR(AB29+0,0))))</f>
        <v/>
      </c>
      <c r="AD29" s="43" t="n"/>
      <c r="AE29" s="42" t="n"/>
      <c r="AF29" s="42" t="n"/>
      <c r="AG29" s="42" t="n"/>
      <c r="AH29" s="34">
        <f>IF(OR(AI29="G",AI29="D"),0,IF(AND(AE29="",AF29=""),0,MAX(0,IFERROR(AE29+0,0)+IFERROR(AF29+0,0)-IFERROR(AG29+0,0))))</f>
        <v/>
      </c>
      <c r="AI29" s="43" t="n"/>
      <c r="AJ29" s="36">
        <f>IF(B29="","",IF(OR(J29="G",J29="D"),0,I29)+IF(OR(O29="G",O29="D"),0,N29)+IF(OR(T29="G",T29="D"),0,S29)+IF(OR(Y29="G",Y29="D"),0,X29)+IF(OR(AD29="G",AD29="D"),0,AC29)+IF(OR(AI29="G",AI29="D"),0,AH29))</f>
        <v/>
      </c>
      <c r="AK29" s="37">
        <f>IF(OR(B29="",AJ29=0),"-",RANK.EQ(AJ29,$AJ$6:$AJ$45,0))</f>
        <v/>
      </c>
      <c r="AL29" s="43">
        <f>IF(OR(B29="",I29=0),"-",IF(OR(J29="G",J29="D"),IF(J29="G","G","D"),COUNTIF($I$6:$I$45,"&gt;"&amp;I29)+1))</f>
        <v/>
      </c>
      <c r="AM29" s="43">
        <f>IF(OR(B29="",N29=0),"-",IF(OR(O29="G",O29="D"),IF(O29="G","G","D"),COUNTIF($N$6:$N$45,"&gt;"&amp;N29)+1))</f>
        <v/>
      </c>
      <c r="AN29" s="43">
        <f>IF(OR(B29="",S29=0),"-",IF(OR(T29="G",T29="D"),IF(T29="G","G","D"),COUNTIF($S$6:$S$45,"&gt;"&amp;S29)+1))</f>
        <v/>
      </c>
      <c r="AO29" s="43">
        <f>IF(OR(B29="",X29=0),"-",IF(OR(Y29="G",Y29="D"),IF(Y29="G","G","D"),COUNTIF($X$6:$X$45,"&gt;"&amp;X29)+1))</f>
        <v/>
      </c>
      <c r="AP29" s="43">
        <f>IF(OR(B29="",AC29=0),"-",IF(OR(AD29="G",AD29="D"),IF(AD29="G","G","D"),COUNTIF($AC$6:$AC$45,"&gt;"&amp;AC29)+1))</f>
        <v/>
      </c>
      <c r="AQ29" s="43">
        <f>IF(OR(B29="",AH29=0),"-",IF(OR(AI29="G",AI29="D"),IF(AI29="G","G","D"),COUNTIF($AH$6:$AH$45,"&gt;"&amp;AH29)+1))</f>
        <v/>
      </c>
    </row>
    <row r="30">
      <c r="A30" s="29" t="n">
        <v>25</v>
      </c>
      <c r="B30" s="30" t="n"/>
      <c r="C30" s="30" t="n"/>
      <c r="D30" s="31" t="n"/>
      <c r="E30" s="32" t="n"/>
      <c r="F30" s="33" t="n"/>
      <c r="G30" s="33" t="n"/>
      <c r="H30" s="33" t="n"/>
      <c r="I30" s="34">
        <f>IF(OR(J30="G",J30="D"),0,IF(AND(F30="",G30=""),0,MAX(0,IFERROR(F30+0,0)+IFERROR(G30+0,0)-IFERROR(H30+0,0))))</f>
        <v/>
      </c>
      <c r="J30" s="35" t="n"/>
      <c r="K30" s="33" t="n"/>
      <c r="L30" s="33" t="n"/>
      <c r="M30" s="33" t="n"/>
      <c r="N30" s="34">
        <f>IF(OR(O30="G",O30="D"),0,IF(AND(K30="",L30=""),0,MAX(0,IFERROR(K30+0,0)+IFERROR(L30+0,0)-IFERROR(M30+0,0))))</f>
        <v/>
      </c>
      <c r="O30" s="35" t="n"/>
      <c r="P30" s="33" t="n"/>
      <c r="Q30" s="33" t="n"/>
      <c r="R30" s="33" t="n"/>
      <c r="S30" s="34">
        <f>IF(OR(T30="G",T30="D"),0,IF(AND(P30="",Q30=""),0,MAX(0,IFERROR(P30+0,0)+IFERROR(Q30+0,0)-IFERROR(R30+0,0))))</f>
        <v/>
      </c>
      <c r="T30" s="35" t="n"/>
      <c r="U30" s="33" t="n"/>
      <c r="V30" s="33" t="n"/>
      <c r="W30" s="33" t="n"/>
      <c r="X30" s="34">
        <f>IF(OR(Y30="G",Y30="D"),0,IF(AND(U30="",V30=""),0,MAX(0,IFERROR(U30+0,0)+IFERROR(V30+0,0)-IFERROR(W30+0,0))))</f>
        <v/>
      </c>
      <c r="Y30" s="35" t="n"/>
      <c r="Z30" s="33" t="n"/>
      <c r="AA30" s="33" t="n"/>
      <c r="AB30" s="33" t="n"/>
      <c r="AC30" s="34">
        <f>IF(OR(AD30="G",AD30="D"),0,IF(AND(Z30="",AA30=""),0,MAX(0,IFERROR(Z30+0,0)+IFERROR(AA30+0,0)-IFERROR(AB30+0,0))))</f>
        <v/>
      </c>
      <c r="AD30" s="35" t="n"/>
      <c r="AE30" s="33" t="n"/>
      <c r="AF30" s="33" t="n"/>
      <c r="AG30" s="33" t="n"/>
      <c r="AH30" s="34">
        <f>IF(OR(AI30="G",AI30="D"),0,IF(AND(AE30="",AF30=""),0,MAX(0,IFERROR(AE30+0,0)+IFERROR(AF30+0,0)-IFERROR(AG30+0,0))))</f>
        <v/>
      </c>
      <c r="AI30" s="35" t="n"/>
      <c r="AJ30" s="36">
        <f>IF(B30="","",IF(OR(J30="G",J30="D"),0,I30)+IF(OR(O30="G",O30="D"),0,N30)+IF(OR(T30="G",T30="D"),0,S30)+IF(OR(Y30="G",Y30="D"),0,X30)+IF(OR(AD30="G",AD30="D"),0,AC30)+IF(OR(AI30="G",AI30="D"),0,AH30))</f>
        <v/>
      </c>
      <c r="AK30" s="37">
        <f>IF(OR(B30="",AJ30=0),"-",RANK.EQ(AJ30,$AJ$6:$AJ$45,0))</f>
        <v/>
      </c>
      <c r="AL30" s="35">
        <f>IF(OR(B30="",I30=0),"-",IF(OR(J30="G",J30="D"),IF(J30="G","G","D"),COUNTIF($I$6:$I$45,"&gt;"&amp;I30)+1))</f>
        <v/>
      </c>
      <c r="AM30" s="35">
        <f>IF(OR(B30="",N30=0),"-",IF(OR(O30="G",O30="D"),IF(O30="G","G","D"),COUNTIF($N$6:$N$45,"&gt;"&amp;N30)+1))</f>
        <v/>
      </c>
      <c r="AN30" s="35">
        <f>IF(OR(B30="",S30=0),"-",IF(OR(T30="G",T30="D"),IF(T30="G","G","D"),COUNTIF($S$6:$S$45,"&gt;"&amp;S30)+1))</f>
        <v/>
      </c>
      <c r="AO30" s="35">
        <f>IF(OR(B30="",X30=0),"-",IF(OR(Y30="G",Y30="D"),IF(Y30="G","G","D"),COUNTIF($X$6:$X$45,"&gt;"&amp;X30)+1))</f>
        <v/>
      </c>
      <c r="AP30" s="35">
        <f>IF(OR(B30="",AC30=0),"-",IF(OR(AD30="G",AD30="D"),IF(AD30="G","G","D"),COUNTIF($AC$6:$AC$45,"&gt;"&amp;AC30)+1))</f>
        <v/>
      </c>
      <c r="AQ30" s="35">
        <f>IF(OR(B30="",AH30=0),"-",IF(OR(AI30="G",AI30="D"),IF(AI30="G","G","D"),COUNTIF($AH$6:$AH$45,"&gt;"&amp;AH30)+1))</f>
        <v/>
      </c>
    </row>
    <row r="31">
      <c r="A31" s="38" t="n">
        <v>26</v>
      </c>
      <c r="B31" s="39" t="n"/>
      <c r="C31" s="39" t="n"/>
      <c r="D31" s="40" t="n"/>
      <c r="E31" s="41" t="n"/>
      <c r="F31" s="42" t="n"/>
      <c r="G31" s="42" t="n"/>
      <c r="H31" s="42" t="n"/>
      <c r="I31" s="34">
        <f>IF(OR(J31="G",J31="D"),0,IF(AND(F31="",G31=""),0,MAX(0,IFERROR(F31+0,0)+IFERROR(G31+0,0)-IFERROR(H31+0,0))))</f>
        <v/>
      </c>
      <c r="J31" s="43" t="n"/>
      <c r="K31" s="42" t="n"/>
      <c r="L31" s="42" t="n"/>
      <c r="M31" s="42" t="n"/>
      <c r="N31" s="34">
        <f>IF(OR(O31="G",O31="D"),0,IF(AND(K31="",L31=""),0,MAX(0,IFERROR(K31+0,0)+IFERROR(L31+0,0)-IFERROR(M31+0,0))))</f>
        <v/>
      </c>
      <c r="O31" s="43" t="n"/>
      <c r="P31" s="42" t="n"/>
      <c r="Q31" s="42" t="n"/>
      <c r="R31" s="42" t="n"/>
      <c r="S31" s="34">
        <f>IF(OR(T31="G",T31="D"),0,IF(AND(P31="",Q31=""),0,MAX(0,IFERROR(P31+0,0)+IFERROR(Q31+0,0)-IFERROR(R31+0,0))))</f>
        <v/>
      </c>
      <c r="T31" s="43" t="n"/>
      <c r="U31" s="42" t="n"/>
      <c r="V31" s="42" t="n"/>
      <c r="W31" s="42" t="n"/>
      <c r="X31" s="34">
        <f>IF(OR(Y31="G",Y31="D"),0,IF(AND(U31="",V31=""),0,MAX(0,IFERROR(U31+0,0)+IFERROR(V31+0,0)-IFERROR(W31+0,0))))</f>
        <v/>
      </c>
      <c r="Y31" s="43" t="n"/>
      <c r="Z31" s="42" t="n"/>
      <c r="AA31" s="42" t="n"/>
      <c r="AB31" s="42" t="n"/>
      <c r="AC31" s="34">
        <f>IF(OR(AD31="G",AD31="D"),0,IF(AND(Z31="",AA31=""),0,MAX(0,IFERROR(Z31+0,0)+IFERROR(AA31+0,0)-IFERROR(AB31+0,0))))</f>
        <v/>
      </c>
      <c r="AD31" s="43" t="n"/>
      <c r="AE31" s="42" t="n"/>
      <c r="AF31" s="42" t="n"/>
      <c r="AG31" s="42" t="n"/>
      <c r="AH31" s="34">
        <f>IF(OR(AI31="G",AI31="D"),0,IF(AND(AE31="",AF31=""),0,MAX(0,IFERROR(AE31+0,0)+IFERROR(AF31+0,0)-IFERROR(AG31+0,0))))</f>
        <v/>
      </c>
      <c r="AI31" s="43" t="n"/>
      <c r="AJ31" s="36">
        <f>IF(B31="","",IF(OR(J31="G",J31="D"),0,I31)+IF(OR(O31="G",O31="D"),0,N31)+IF(OR(T31="G",T31="D"),0,S31)+IF(OR(Y31="G",Y31="D"),0,X31)+IF(OR(AD31="G",AD31="D"),0,AC31)+IF(OR(AI31="G",AI31="D"),0,AH31))</f>
        <v/>
      </c>
      <c r="AK31" s="37">
        <f>IF(OR(B31="",AJ31=0),"-",RANK.EQ(AJ31,$AJ$6:$AJ$45,0))</f>
        <v/>
      </c>
      <c r="AL31" s="43">
        <f>IF(OR(B31="",I31=0),"-",IF(OR(J31="G",J31="D"),IF(J31="G","G","D"),COUNTIF($I$6:$I$45,"&gt;"&amp;I31)+1))</f>
        <v/>
      </c>
      <c r="AM31" s="43">
        <f>IF(OR(B31="",N31=0),"-",IF(OR(O31="G",O31="D"),IF(O31="G","G","D"),COUNTIF($N$6:$N$45,"&gt;"&amp;N31)+1))</f>
        <v/>
      </c>
      <c r="AN31" s="43">
        <f>IF(OR(B31="",S31=0),"-",IF(OR(T31="G",T31="D"),IF(T31="G","G","D"),COUNTIF($S$6:$S$45,"&gt;"&amp;S31)+1))</f>
        <v/>
      </c>
      <c r="AO31" s="43">
        <f>IF(OR(B31="",X31=0),"-",IF(OR(Y31="G",Y31="D"),IF(Y31="G","G","D"),COUNTIF($X$6:$X$45,"&gt;"&amp;X31)+1))</f>
        <v/>
      </c>
      <c r="AP31" s="43">
        <f>IF(OR(B31="",AC31=0),"-",IF(OR(AD31="G",AD31="D"),IF(AD31="G","G","D"),COUNTIF($AC$6:$AC$45,"&gt;"&amp;AC31)+1))</f>
        <v/>
      </c>
      <c r="AQ31" s="43">
        <f>IF(OR(B31="",AH31=0),"-",IF(OR(AI31="G",AI31="D"),IF(AI31="G","G","D"),COUNTIF($AH$6:$AH$45,"&gt;"&amp;AH31)+1))</f>
        <v/>
      </c>
    </row>
    <row r="32">
      <c r="A32" s="29" t="n">
        <v>27</v>
      </c>
      <c r="B32" s="30" t="n"/>
      <c r="C32" s="30" t="n"/>
      <c r="D32" s="31" t="n"/>
      <c r="E32" s="32" t="n"/>
      <c r="F32" s="33" t="n"/>
      <c r="G32" s="33" t="n"/>
      <c r="H32" s="33" t="n"/>
      <c r="I32" s="34">
        <f>IF(OR(J32="G",J32="D"),0,IF(AND(F32="",G32=""),0,MAX(0,IFERROR(F32+0,0)+IFERROR(G32+0,0)-IFERROR(H32+0,0))))</f>
        <v/>
      </c>
      <c r="J32" s="35" t="n"/>
      <c r="K32" s="33" t="n"/>
      <c r="L32" s="33" t="n"/>
      <c r="M32" s="33" t="n"/>
      <c r="N32" s="34">
        <f>IF(OR(O32="G",O32="D"),0,IF(AND(K32="",L32=""),0,MAX(0,IFERROR(K32+0,0)+IFERROR(L32+0,0)-IFERROR(M32+0,0))))</f>
        <v/>
      </c>
      <c r="O32" s="35" t="n"/>
      <c r="P32" s="33" t="n"/>
      <c r="Q32" s="33" t="n"/>
      <c r="R32" s="33" t="n"/>
      <c r="S32" s="34">
        <f>IF(OR(T32="G",T32="D"),0,IF(AND(P32="",Q32=""),0,MAX(0,IFERROR(P32+0,0)+IFERROR(Q32+0,0)-IFERROR(R32+0,0))))</f>
        <v/>
      </c>
      <c r="T32" s="35" t="n"/>
      <c r="U32" s="33" t="n"/>
      <c r="V32" s="33" t="n"/>
      <c r="W32" s="33" t="n"/>
      <c r="X32" s="34">
        <f>IF(OR(Y32="G",Y32="D"),0,IF(AND(U32="",V32=""),0,MAX(0,IFERROR(U32+0,0)+IFERROR(V32+0,0)-IFERROR(W32+0,0))))</f>
        <v/>
      </c>
      <c r="Y32" s="35" t="n"/>
      <c r="Z32" s="33" t="n"/>
      <c r="AA32" s="33" t="n"/>
      <c r="AB32" s="33" t="n"/>
      <c r="AC32" s="34">
        <f>IF(OR(AD32="G",AD32="D"),0,IF(AND(Z32="",AA32=""),0,MAX(0,IFERROR(Z32+0,0)+IFERROR(AA32+0,0)-IFERROR(AB32+0,0))))</f>
        <v/>
      </c>
      <c r="AD32" s="35" t="n"/>
      <c r="AE32" s="33" t="n"/>
      <c r="AF32" s="33" t="n"/>
      <c r="AG32" s="33" t="n"/>
      <c r="AH32" s="34">
        <f>IF(OR(AI32="G",AI32="D"),0,IF(AND(AE32="",AF32=""),0,MAX(0,IFERROR(AE32+0,0)+IFERROR(AF32+0,0)-IFERROR(AG32+0,0))))</f>
        <v/>
      </c>
      <c r="AI32" s="35" t="n"/>
      <c r="AJ32" s="36">
        <f>IF(B32="","",IF(OR(J32="G",J32="D"),0,I32)+IF(OR(O32="G",O32="D"),0,N32)+IF(OR(T32="G",T32="D"),0,S32)+IF(OR(Y32="G",Y32="D"),0,X32)+IF(OR(AD32="G",AD32="D"),0,AC32)+IF(OR(AI32="G",AI32="D"),0,AH32))</f>
        <v/>
      </c>
      <c r="AK32" s="37">
        <f>IF(OR(B32="",AJ32=0),"-",RANK.EQ(AJ32,$AJ$6:$AJ$45,0))</f>
        <v/>
      </c>
      <c r="AL32" s="35">
        <f>IF(OR(B32="",I32=0),"-",IF(OR(J32="G",J32="D"),IF(J32="G","G","D"),COUNTIF($I$6:$I$45,"&gt;"&amp;I32)+1))</f>
        <v/>
      </c>
      <c r="AM32" s="35">
        <f>IF(OR(B32="",N32=0),"-",IF(OR(O32="G",O32="D"),IF(O32="G","G","D"),COUNTIF($N$6:$N$45,"&gt;"&amp;N32)+1))</f>
        <v/>
      </c>
      <c r="AN32" s="35">
        <f>IF(OR(B32="",S32=0),"-",IF(OR(T32="G",T32="D"),IF(T32="G","G","D"),COUNTIF($S$6:$S$45,"&gt;"&amp;S32)+1))</f>
        <v/>
      </c>
      <c r="AO32" s="35">
        <f>IF(OR(B32="",X32=0),"-",IF(OR(Y32="G",Y32="D"),IF(Y32="G","G","D"),COUNTIF($X$6:$X$45,"&gt;"&amp;X32)+1))</f>
        <v/>
      </c>
      <c r="AP32" s="35">
        <f>IF(OR(B32="",AC32=0),"-",IF(OR(AD32="G",AD32="D"),IF(AD32="G","G","D"),COUNTIF($AC$6:$AC$45,"&gt;"&amp;AC32)+1))</f>
        <v/>
      </c>
      <c r="AQ32" s="35">
        <f>IF(OR(B32="",AH32=0),"-",IF(OR(AI32="G",AI32="D"),IF(AI32="G","G","D"),COUNTIF($AH$6:$AH$45,"&gt;"&amp;AH32)+1))</f>
        <v/>
      </c>
    </row>
    <row r="33">
      <c r="A33" s="38" t="n">
        <v>28</v>
      </c>
      <c r="B33" s="39" t="n"/>
      <c r="C33" s="39" t="n"/>
      <c r="D33" s="40" t="n"/>
      <c r="E33" s="41" t="n"/>
      <c r="F33" s="42" t="n"/>
      <c r="G33" s="42" t="n"/>
      <c r="H33" s="42" t="n"/>
      <c r="I33" s="34">
        <f>IF(OR(J33="G",J33="D"),0,IF(AND(F33="",G33=""),0,MAX(0,IFERROR(F33+0,0)+IFERROR(G33+0,0)-IFERROR(H33+0,0))))</f>
        <v/>
      </c>
      <c r="J33" s="43" t="n"/>
      <c r="K33" s="42" t="n"/>
      <c r="L33" s="42" t="n"/>
      <c r="M33" s="42" t="n"/>
      <c r="N33" s="34">
        <f>IF(OR(O33="G",O33="D"),0,IF(AND(K33="",L33=""),0,MAX(0,IFERROR(K33+0,0)+IFERROR(L33+0,0)-IFERROR(M33+0,0))))</f>
        <v/>
      </c>
      <c r="O33" s="43" t="n"/>
      <c r="P33" s="42" t="n"/>
      <c r="Q33" s="42" t="n"/>
      <c r="R33" s="42" t="n"/>
      <c r="S33" s="34">
        <f>IF(OR(T33="G",T33="D"),0,IF(AND(P33="",Q33=""),0,MAX(0,IFERROR(P33+0,0)+IFERROR(Q33+0,0)-IFERROR(R33+0,0))))</f>
        <v/>
      </c>
      <c r="T33" s="43" t="n"/>
      <c r="U33" s="42" t="n"/>
      <c r="V33" s="42" t="n"/>
      <c r="W33" s="42" t="n"/>
      <c r="X33" s="34">
        <f>IF(OR(Y33="G",Y33="D"),0,IF(AND(U33="",V33=""),0,MAX(0,IFERROR(U33+0,0)+IFERROR(V33+0,0)-IFERROR(W33+0,0))))</f>
        <v/>
      </c>
      <c r="Y33" s="43" t="n"/>
      <c r="Z33" s="42" t="n"/>
      <c r="AA33" s="42" t="n"/>
      <c r="AB33" s="42" t="n"/>
      <c r="AC33" s="34">
        <f>IF(OR(AD33="G",AD33="D"),0,IF(AND(Z33="",AA33=""),0,MAX(0,IFERROR(Z33+0,0)+IFERROR(AA33+0,0)-IFERROR(AB33+0,0))))</f>
        <v/>
      </c>
      <c r="AD33" s="43" t="n"/>
      <c r="AE33" s="42" t="n"/>
      <c r="AF33" s="42" t="n"/>
      <c r="AG33" s="42" t="n"/>
      <c r="AH33" s="34">
        <f>IF(OR(AI33="G",AI33="D"),0,IF(AND(AE33="",AF33=""),0,MAX(0,IFERROR(AE33+0,0)+IFERROR(AF33+0,0)-IFERROR(AG33+0,0))))</f>
        <v/>
      </c>
      <c r="AI33" s="43" t="n"/>
      <c r="AJ33" s="36">
        <f>IF(B33="","",IF(OR(J33="G",J33="D"),0,I33)+IF(OR(O33="G",O33="D"),0,N33)+IF(OR(T33="G",T33="D"),0,S33)+IF(OR(Y33="G",Y33="D"),0,X33)+IF(OR(AD33="G",AD33="D"),0,AC33)+IF(OR(AI33="G",AI33="D"),0,AH33))</f>
        <v/>
      </c>
      <c r="AK33" s="37">
        <f>IF(OR(B33="",AJ33=0),"-",RANK.EQ(AJ33,$AJ$6:$AJ$45,0))</f>
        <v/>
      </c>
      <c r="AL33" s="43">
        <f>IF(OR(B33="",I33=0),"-",IF(OR(J33="G",J33="D"),IF(J33="G","G","D"),COUNTIF($I$6:$I$45,"&gt;"&amp;I33)+1))</f>
        <v/>
      </c>
      <c r="AM33" s="43">
        <f>IF(OR(B33="",N33=0),"-",IF(OR(O33="G",O33="D"),IF(O33="G","G","D"),COUNTIF($N$6:$N$45,"&gt;"&amp;N33)+1))</f>
        <v/>
      </c>
      <c r="AN33" s="43">
        <f>IF(OR(B33="",S33=0),"-",IF(OR(T33="G",T33="D"),IF(T33="G","G","D"),COUNTIF($S$6:$S$45,"&gt;"&amp;S33)+1))</f>
        <v/>
      </c>
      <c r="AO33" s="43">
        <f>IF(OR(B33="",X33=0),"-",IF(OR(Y33="G",Y33="D"),IF(Y33="G","G","D"),COUNTIF($X$6:$X$45,"&gt;"&amp;X33)+1))</f>
        <v/>
      </c>
      <c r="AP33" s="43">
        <f>IF(OR(B33="",AC33=0),"-",IF(OR(AD33="G",AD33="D"),IF(AD33="G","G","D"),COUNTIF($AC$6:$AC$45,"&gt;"&amp;AC33)+1))</f>
        <v/>
      </c>
      <c r="AQ33" s="43">
        <f>IF(OR(B33="",AH33=0),"-",IF(OR(AI33="G",AI33="D"),IF(AI33="G","G","D"),COUNTIF($AH$6:$AH$45,"&gt;"&amp;AH33)+1))</f>
        <v/>
      </c>
    </row>
    <row r="34">
      <c r="A34" s="29" t="n">
        <v>29</v>
      </c>
      <c r="B34" s="30" t="n"/>
      <c r="C34" s="30" t="n"/>
      <c r="D34" s="31" t="n"/>
      <c r="E34" s="32" t="n"/>
      <c r="F34" s="33" t="n"/>
      <c r="G34" s="33" t="n"/>
      <c r="H34" s="33" t="n"/>
      <c r="I34" s="34">
        <f>IF(OR(J34="G",J34="D"),0,IF(AND(F34="",G34=""),0,MAX(0,IFERROR(F34+0,0)+IFERROR(G34+0,0)-IFERROR(H34+0,0))))</f>
        <v/>
      </c>
      <c r="J34" s="35" t="n"/>
      <c r="K34" s="33" t="n"/>
      <c r="L34" s="33" t="n"/>
      <c r="M34" s="33" t="n"/>
      <c r="N34" s="34">
        <f>IF(OR(O34="G",O34="D"),0,IF(AND(K34="",L34=""),0,MAX(0,IFERROR(K34+0,0)+IFERROR(L34+0,0)-IFERROR(M34+0,0))))</f>
        <v/>
      </c>
      <c r="O34" s="35" t="n"/>
      <c r="P34" s="33" t="n"/>
      <c r="Q34" s="33" t="n"/>
      <c r="R34" s="33" t="n"/>
      <c r="S34" s="34">
        <f>IF(OR(T34="G",T34="D"),0,IF(AND(P34="",Q34=""),0,MAX(0,IFERROR(P34+0,0)+IFERROR(Q34+0,0)-IFERROR(R34+0,0))))</f>
        <v/>
      </c>
      <c r="T34" s="35" t="n"/>
      <c r="U34" s="33" t="n"/>
      <c r="V34" s="33" t="n"/>
      <c r="W34" s="33" t="n"/>
      <c r="X34" s="34">
        <f>IF(OR(Y34="G",Y34="D"),0,IF(AND(U34="",V34=""),0,MAX(0,IFERROR(U34+0,0)+IFERROR(V34+0,0)-IFERROR(W34+0,0))))</f>
        <v/>
      </c>
      <c r="Y34" s="35" t="n"/>
      <c r="Z34" s="33" t="n"/>
      <c r="AA34" s="33" t="n"/>
      <c r="AB34" s="33" t="n"/>
      <c r="AC34" s="34">
        <f>IF(OR(AD34="G",AD34="D"),0,IF(AND(Z34="",AA34=""),0,MAX(0,IFERROR(Z34+0,0)+IFERROR(AA34+0,0)-IFERROR(AB34+0,0))))</f>
        <v/>
      </c>
      <c r="AD34" s="35" t="n"/>
      <c r="AE34" s="33" t="n"/>
      <c r="AF34" s="33" t="n"/>
      <c r="AG34" s="33" t="n"/>
      <c r="AH34" s="34">
        <f>IF(OR(AI34="G",AI34="D"),0,IF(AND(AE34="",AF34=""),0,MAX(0,IFERROR(AE34+0,0)+IFERROR(AF34+0,0)-IFERROR(AG34+0,0))))</f>
        <v/>
      </c>
      <c r="AI34" s="35" t="n"/>
      <c r="AJ34" s="36">
        <f>IF(B34="","",IF(OR(J34="G",J34="D"),0,I34)+IF(OR(O34="G",O34="D"),0,N34)+IF(OR(T34="G",T34="D"),0,S34)+IF(OR(Y34="G",Y34="D"),0,X34)+IF(OR(AD34="G",AD34="D"),0,AC34)+IF(OR(AI34="G",AI34="D"),0,AH34))</f>
        <v/>
      </c>
      <c r="AK34" s="37">
        <f>IF(OR(B34="",AJ34=0),"-",RANK.EQ(AJ34,$AJ$6:$AJ$45,0))</f>
        <v/>
      </c>
      <c r="AL34" s="35">
        <f>IF(OR(B34="",I34=0),"-",IF(OR(J34="G",J34="D"),IF(J34="G","G","D"),COUNTIF($I$6:$I$45,"&gt;"&amp;I34)+1))</f>
        <v/>
      </c>
      <c r="AM34" s="35">
        <f>IF(OR(B34="",N34=0),"-",IF(OR(O34="G",O34="D"),IF(O34="G","G","D"),COUNTIF($N$6:$N$45,"&gt;"&amp;N34)+1))</f>
        <v/>
      </c>
      <c r="AN34" s="35">
        <f>IF(OR(B34="",S34=0),"-",IF(OR(T34="G",T34="D"),IF(T34="G","G","D"),COUNTIF($S$6:$S$45,"&gt;"&amp;S34)+1))</f>
        <v/>
      </c>
      <c r="AO34" s="35">
        <f>IF(OR(B34="",X34=0),"-",IF(OR(Y34="G",Y34="D"),IF(Y34="G","G","D"),COUNTIF($X$6:$X$45,"&gt;"&amp;X34)+1))</f>
        <v/>
      </c>
      <c r="AP34" s="35">
        <f>IF(OR(B34="",AC34=0),"-",IF(OR(AD34="G",AD34="D"),IF(AD34="G","G","D"),COUNTIF($AC$6:$AC$45,"&gt;"&amp;AC34)+1))</f>
        <v/>
      </c>
      <c r="AQ34" s="35">
        <f>IF(OR(B34="",AH34=0),"-",IF(OR(AI34="G",AI34="D"),IF(AI34="G","G","D"),COUNTIF($AH$6:$AH$45,"&gt;"&amp;AH34)+1))</f>
        <v/>
      </c>
    </row>
    <row r="35">
      <c r="A35" s="38" t="n">
        <v>30</v>
      </c>
      <c r="B35" s="39" t="n"/>
      <c r="C35" s="39" t="n"/>
      <c r="D35" s="40" t="n"/>
      <c r="E35" s="41" t="n"/>
      <c r="F35" s="42" t="n"/>
      <c r="G35" s="42" t="n"/>
      <c r="H35" s="42" t="n"/>
      <c r="I35" s="34">
        <f>IF(OR(J35="G",J35="D"),0,IF(AND(F35="",G35=""),0,MAX(0,IFERROR(F35+0,0)+IFERROR(G35+0,0)-IFERROR(H35+0,0))))</f>
        <v/>
      </c>
      <c r="J35" s="43" t="n"/>
      <c r="K35" s="42" t="n"/>
      <c r="L35" s="42" t="n"/>
      <c r="M35" s="42" t="n"/>
      <c r="N35" s="34">
        <f>IF(OR(O35="G",O35="D"),0,IF(AND(K35="",L35=""),0,MAX(0,IFERROR(K35+0,0)+IFERROR(L35+0,0)-IFERROR(M35+0,0))))</f>
        <v/>
      </c>
      <c r="O35" s="43" t="n"/>
      <c r="P35" s="42" t="n"/>
      <c r="Q35" s="42" t="n"/>
      <c r="R35" s="42" t="n"/>
      <c r="S35" s="34">
        <f>IF(OR(T35="G",T35="D"),0,IF(AND(P35="",Q35=""),0,MAX(0,IFERROR(P35+0,0)+IFERROR(Q35+0,0)-IFERROR(R35+0,0))))</f>
        <v/>
      </c>
      <c r="T35" s="43" t="n"/>
      <c r="U35" s="42" t="n"/>
      <c r="V35" s="42" t="n"/>
      <c r="W35" s="42" t="n"/>
      <c r="X35" s="34">
        <f>IF(OR(Y35="G",Y35="D"),0,IF(AND(U35="",V35=""),0,MAX(0,IFERROR(U35+0,0)+IFERROR(V35+0,0)-IFERROR(W35+0,0))))</f>
        <v/>
      </c>
      <c r="Y35" s="43" t="n"/>
      <c r="Z35" s="42" t="n"/>
      <c r="AA35" s="42" t="n"/>
      <c r="AB35" s="42" t="n"/>
      <c r="AC35" s="34">
        <f>IF(OR(AD35="G",AD35="D"),0,IF(AND(Z35="",AA35=""),0,MAX(0,IFERROR(Z35+0,0)+IFERROR(AA35+0,0)-IFERROR(AB35+0,0))))</f>
        <v/>
      </c>
      <c r="AD35" s="43" t="n"/>
      <c r="AE35" s="42" t="n"/>
      <c r="AF35" s="42" t="n"/>
      <c r="AG35" s="42" t="n"/>
      <c r="AH35" s="34">
        <f>IF(OR(AI35="G",AI35="D"),0,IF(AND(AE35="",AF35=""),0,MAX(0,IFERROR(AE35+0,0)+IFERROR(AF35+0,0)-IFERROR(AG35+0,0))))</f>
        <v/>
      </c>
      <c r="AI35" s="43" t="n"/>
      <c r="AJ35" s="36">
        <f>IF(B35="","",IF(OR(J35="G",J35="D"),0,I35)+IF(OR(O35="G",O35="D"),0,N35)+IF(OR(T35="G",T35="D"),0,S35)+IF(OR(Y35="G",Y35="D"),0,X35)+IF(OR(AD35="G",AD35="D"),0,AC35)+IF(OR(AI35="G",AI35="D"),0,AH35))</f>
        <v/>
      </c>
      <c r="AK35" s="37">
        <f>IF(OR(B35="",AJ35=0),"-",RANK.EQ(AJ35,$AJ$6:$AJ$45,0))</f>
        <v/>
      </c>
      <c r="AL35" s="43">
        <f>IF(OR(B35="",I35=0),"-",IF(OR(J35="G",J35="D"),IF(J35="G","G","D"),COUNTIF($I$6:$I$45,"&gt;"&amp;I35)+1))</f>
        <v/>
      </c>
      <c r="AM35" s="43">
        <f>IF(OR(B35="",N35=0),"-",IF(OR(O35="G",O35="D"),IF(O35="G","G","D"),COUNTIF($N$6:$N$45,"&gt;"&amp;N35)+1))</f>
        <v/>
      </c>
      <c r="AN35" s="43">
        <f>IF(OR(B35="",S35=0),"-",IF(OR(T35="G",T35="D"),IF(T35="G","G","D"),COUNTIF($S$6:$S$45,"&gt;"&amp;S35)+1))</f>
        <v/>
      </c>
      <c r="AO35" s="43">
        <f>IF(OR(B35="",X35=0),"-",IF(OR(Y35="G",Y35="D"),IF(Y35="G","G","D"),COUNTIF($X$6:$X$45,"&gt;"&amp;X35)+1))</f>
        <v/>
      </c>
      <c r="AP35" s="43">
        <f>IF(OR(B35="",AC35=0),"-",IF(OR(AD35="G",AD35="D"),IF(AD35="G","G","D"),COUNTIF($AC$6:$AC$45,"&gt;"&amp;AC35)+1))</f>
        <v/>
      </c>
      <c r="AQ35" s="43">
        <f>IF(OR(B35="",AH35=0),"-",IF(OR(AI35="G",AI35="D"),IF(AI35="G","G","D"),COUNTIF($AH$6:$AH$45,"&gt;"&amp;AH35)+1))</f>
        <v/>
      </c>
    </row>
    <row r="36">
      <c r="A36" s="29" t="n">
        <v>31</v>
      </c>
      <c r="B36" s="30" t="n"/>
      <c r="C36" s="30" t="n"/>
      <c r="D36" s="31" t="n"/>
      <c r="E36" s="32" t="n"/>
      <c r="F36" s="33" t="n"/>
      <c r="G36" s="33" t="n"/>
      <c r="H36" s="33" t="n"/>
      <c r="I36" s="34">
        <f>IF(OR(J36="G",J36="D"),0,IF(AND(F36="",G36=""),0,MAX(0,IFERROR(F36+0,0)+IFERROR(G36+0,0)-IFERROR(H36+0,0))))</f>
        <v/>
      </c>
      <c r="J36" s="35" t="n"/>
      <c r="K36" s="33" t="n"/>
      <c r="L36" s="33" t="n"/>
      <c r="M36" s="33" t="n"/>
      <c r="N36" s="34">
        <f>IF(OR(O36="G",O36="D"),0,IF(AND(K36="",L36=""),0,MAX(0,IFERROR(K36+0,0)+IFERROR(L36+0,0)-IFERROR(M36+0,0))))</f>
        <v/>
      </c>
      <c r="O36" s="35" t="n"/>
      <c r="P36" s="33" t="n"/>
      <c r="Q36" s="33" t="n"/>
      <c r="R36" s="33" t="n"/>
      <c r="S36" s="34">
        <f>IF(OR(T36="G",T36="D"),0,IF(AND(P36="",Q36=""),0,MAX(0,IFERROR(P36+0,0)+IFERROR(Q36+0,0)-IFERROR(R36+0,0))))</f>
        <v/>
      </c>
      <c r="T36" s="35" t="n"/>
      <c r="U36" s="33" t="n"/>
      <c r="V36" s="33" t="n"/>
      <c r="W36" s="33" t="n"/>
      <c r="X36" s="34">
        <f>IF(OR(Y36="G",Y36="D"),0,IF(AND(U36="",V36=""),0,MAX(0,IFERROR(U36+0,0)+IFERROR(V36+0,0)-IFERROR(W36+0,0))))</f>
        <v/>
      </c>
      <c r="Y36" s="35" t="n"/>
      <c r="Z36" s="33" t="n"/>
      <c r="AA36" s="33" t="n"/>
      <c r="AB36" s="33" t="n"/>
      <c r="AC36" s="34">
        <f>IF(OR(AD36="G",AD36="D"),0,IF(AND(Z36="",AA36=""),0,MAX(0,IFERROR(Z36+0,0)+IFERROR(AA36+0,0)-IFERROR(AB36+0,0))))</f>
        <v/>
      </c>
      <c r="AD36" s="35" t="n"/>
      <c r="AE36" s="33" t="n"/>
      <c r="AF36" s="33" t="n"/>
      <c r="AG36" s="33" t="n"/>
      <c r="AH36" s="34">
        <f>IF(OR(AI36="G",AI36="D"),0,IF(AND(AE36="",AF36=""),0,MAX(0,IFERROR(AE36+0,0)+IFERROR(AF36+0,0)-IFERROR(AG36+0,0))))</f>
        <v/>
      </c>
      <c r="AI36" s="35" t="n"/>
      <c r="AJ36" s="36">
        <f>IF(B36="","",IF(OR(J36="G",J36="D"),0,I36)+IF(OR(O36="G",O36="D"),0,N36)+IF(OR(T36="G",T36="D"),0,S36)+IF(OR(Y36="G",Y36="D"),0,X36)+IF(OR(AD36="G",AD36="D"),0,AC36)+IF(OR(AI36="G",AI36="D"),0,AH36))</f>
        <v/>
      </c>
      <c r="AK36" s="37">
        <f>IF(OR(B36="",AJ36=0),"-",RANK.EQ(AJ36,$AJ$6:$AJ$45,0))</f>
        <v/>
      </c>
      <c r="AL36" s="35">
        <f>IF(OR(B36="",I36=0),"-",IF(OR(J36="G",J36="D"),IF(J36="G","G","D"),COUNTIF($I$6:$I$45,"&gt;"&amp;I36)+1))</f>
        <v/>
      </c>
      <c r="AM36" s="35">
        <f>IF(OR(B36="",N36=0),"-",IF(OR(O36="G",O36="D"),IF(O36="G","G","D"),COUNTIF($N$6:$N$45,"&gt;"&amp;N36)+1))</f>
        <v/>
      </c>
      <c r="AN36" s="35">
        <f>IF(OR(B36="",S36=0),"-",IF(OR(T36="G",T36="D"),IF(T36="G","G","D"),COUNTIF($S$6:$S$45,"&gt;"&amp;S36)+1))</f>
        <v/>
      </c>
      <c r="AO36" s="35">
        <f>IF(OR(B36="",X36=0),"-",IF(OR(Y36="G",Y36="D"),IF(Y36="G","G","D"),COUNTIF($X$6:$X$45,"&gt;"&amp;X36)+1))</f>
        <v/>
      </c>
      <c r="AP36" s="35">
        <f>IF(OR(B36="",AC36=0),"-",IF(OR(AD36="G",AD36="D"),IF(AD36="G","G","D"),COUNTIF($AC$6:$AC$45,"&gt;"&amp;AC36)+1))</f>
        <v/>
      </c>
      <c r="AQ36" s="35">
        <f>IF(OR(B36="",AH36=0),"-",IF(OR(AI36="G",AI36="D"),IF(AI36="G","G","D"),COUNTIF($AH$6:$AH$45,"&gt;"&amp;AH36)+1))</f>
        <v/>
      </c>
    </row>
    <row r="37">
      <c r="A37" s="38" t="n">
        <v>32</v>
      </c>
      <c r="B37" s="39" t="n"/>
      <c r="C37" s="39" t="n"/>
      <c r="D37" s="40" t="n"/>
      <c r="E37" s="41" t="n"/>
      <c r="F37" s="42" t="n"/>
      <c r="G37" s="42" t="n"/>
      <c r="H37" s="42" t="n"/>
      <c r="I37" s="34">
        <f>IF(OR(J37="G",J37="D"),0,IF(AND(F37="",G37=""),0,MAX(0,IFERROR(F37+0,0)+IFERROR(G37+0,0)-IFERROR(H37+0,0))))</f>
        <v/>
      </c>
      <c r="J37" s="43" t="n"/>
      <c r="K37" s="42" t="n"/>
      <c r="L37" s="42" t="n"/>
      <c r="M37" s="42" t="n"/>
      <c r="N37" s="34">
        <f>IF(OR(O37="G",O37="D"),0,IF(AND(K37="",L37=""),0,MAX(0,IFERROR(K37+0,0)+IFERROR(L37+0,0)-IFERROR(M37+0,0))))</f>
        <v/>
      </c>
      <c r="O37" s="43" t="n"/>
      <c r="P37" s="42" t="n"/>
      <c r="Q37" s="42" t="n"/>
      <c r="R37" s="42" t="n"/>
      <c r="S37" s="34">
        <f>IF(OR(T37="G",T37="D"),0,IF(AND(P37="",Q37=""),0,MAX(0,IFERROR(P37+0,0)+IFERROR(Q37+0,0)-IFERROR(R37+0,0))))</f>
        <v/>
      </c>
      <c r="T37" s="43" t="n"/>
      <c r="U37" s="42" t="n"/>
      <c r="V37" s="42" t="n"/>
      <c r="W37" s="42" t="n"/>
      <c r="X37" s="34">
        <f>IF(OR(Y37="G",Y37="D"),0,IF(AND(U37="",V37=""),0,MAX(0,IFERROR(U37+0,0)+IFERROR(V37+0,0)-IFERROR(W37+0,0))))</f>
        <v/>
      </c>
      <c r="Y37" s="43" t="n"/>
      <c r="Z37" s="42" t="n"/>
      <c r="AA37" s="42" t="n"/>
      <c r="AB37" s="42" t="n"/>
      <c r="AC37" s="34">
        <f>IF(OR(AD37="G",AD37="D"),0,IF(AND(Z37="",AA37=""),0,MAX(0,IFERROR(Z37+0,0)+IFERROR(AA37+0,0)-IFERROR(AB37+0,0))))</f>
        <v/>
      </c>
      <c r="AD37" s="43" t="n"/>
      <c r="AE37" s="42" t="n"/>
      <c r="AF37" s="42" t="n"/>
      <c r="AG37" s="42" t="n"/>
      <c r="AH37" s="34">
        <f>IF(OR(AI37="G",AI37="D"),0,IF(AND(AE37="",AF37=""),0,MAX(0,IFERROR(AE37+0,0)+IFERROR(AF37+0,0)-IFERROR(AG37+0,0))))</f>
        <v/>
      </c>
      <c r="AI37" s="43" t="n"/>
      <c r="AJ37" s="36">
        <f>IF(B37="","",IF(OR(J37="G",J37="D"),0,I37)+IF(OR(O37="G",O37="D"),0,N37)+IF(OR(T37="G",T37="D"),0,S37)+IF(OR(Y37="G",Y37="D"),0,X37)+IF(OR(AD37="G",AD37="D"),0,AC37)+IF(OR(AI37="G",AI37="D"),0,AH37))</f>
        <v/>
      </c>
      <c r="AK37" s="37">
        <f>IF(OR(B37="",AJ37=0),"-",RANK.EQ(AJ37,$AJ$6:$AJ$45,0))</f>
        <v/>
      </c>
      <c r="AL37" s="43">
        <f>IF(OR(B37="",I37=0),"-",IF(OR(J37="G",J37="D"),IF(J37="G","G","D"),COUNTIF($I$6:$I$45,"&gt;"&amp;I37)+1))</f>
        <v/>
      </c>
      <c r="AM37" s="43">
        <f>IF(OR(B37="",N37=0),"-",IF(OR(O37="G",O37="D"),IF(O37="G","G","D"),COUNTIF($N$6:$N$45,"&gt;"&amp;N37)+1))</f>
        <v/>
      </c>
      <c r="AN37" s="43">
        <f>IF(OR(B37="",S37=0),"-",IF(OR(T37="G",T37="D"),IF(T37="G","G","D"),COUNTIF($S$6:$S$45,"&gt;"&amp;S37)+1))</f>
        <v/>
      </c>
      <c r="AO37" s="43">
        <f>IF(OR(B37="",X37=0),"-",IF(OR(Y37="G",Y37="D"),IF(Y37="G","G","D"),COUNTIF($X$6:$X$45,"&gt;"&amp;X37)+1))</f>
        <v/>
      </c>
      <c r="AP37" s="43">
        <f>IF(OR(B37="",AC37=0),"-",IF(OR(AD37="G",AD37="D"),IF(AD37="G","G","D"),COUNTIF($AC$6:$AC$45,"&gt;"&amp;AC37)+1))</f>
        <v/>
      </c>
      <c r="AQ37" s="43">
        <f>IF(OR(B37="",AH37=0),"-",IF(OR(AI37="G",AI37="D"),IF(AI37="G","G","D"),COUNTIF($AH$6:$AH$45,"&gt;"&amp;AH37)+1))</f>
        <v/>
      </c>
    </row>
    <row r="38">
      <c r="A38" s="29" t="n">
        <v>33</v>
      </c>
      <c r="B38" s="30" t="n"/>
      <c r="C38" s="30" t="n"/>
      <c r="D38" s="31" t="n"/>
      <c r="E38" s="32" t="n"/>
      <c r="F38" s="33" t="n"/>
      <c r="G38" s="33" t="n"/>
      <c r="H38" s="33" t="n"/>
      <c r="I38" s="34">
        <f>IF(OR(J38="G",J38="D"),0,IF(AND(F38="",G38=""),0,MAX(0,IFERROR(F38+0,0)+IFERROR(G38+0,0)-IFERROR(H38+0,0))))</f>
        <v/>
      </c>
      <c r="J38" s="35" t="n"/>
      <c r="K38" s="33" t="n"/>
      <c r="L38" s="33" t="n"/>
      <c r="M38" s="33" t="n"/>
      <c r="N38" s="34">
        <f>IF(OR(O38="G",O38="D"),0,IF(AND(K38="",L38=""),0,MAX(0,IFERROR(K38+0,0)+IFERROR(L38+0,0)-IFERROR(M38+0,0))))</f>
        <v/>
      </c>
      <c r="O38" s="35" t="n"/>
      <c r="P38" s="33" t="n"/>
      <c r="Q38" s="33" t="n"/>
      <c r="R38" s="33" t="n"/>
      <c r="S38" s="34">
        <f>IF(OR(T38="G",T38="D"),0,IF(AND(P38="",Q38=""),0,MAX(0,IFERROR(P38+0,0)+IFERROR(Q38+0,0)-IFERROR(R38+0,0))))</f>
        <v/>
      </c>
      <c r="T38" s="35" t="n"/>
      <c r="U38" s="33" t="n"/>
      <c r="V38" s="33" t="n"/>
      <c r="W38" s="33" t="n"/>
      <c r="X38" s="34">
        <f>IF(OR(Y38="G",Y38="D"),0,IF(AND(U38="",V38=""),0,MAX(0,IFERROR(U38+0,0)+IFERROR(V38+0,0)-IFERROR(W38+0,0))))</f>
        <v/>
      </c>
      <c r="Y38" s="35" t="n"/>
      <c r="Z38" s="33" t="n"/>
      <c r="AA38" s="33" t="n"/>
      <c r="AB38" s="33" t="n"/>
      <c r="AC38" s="34">
        <f>IF(OR(AD38="G",AD38="D"),0,IF(AND(Z38="",AA38=""),0,MAX(0,IFERROR(Z38+0,0)+IFERROR(AA38+0,0)-IFERROR(AB38+0,0))))</f>
        <v/>
      </c>
      <c r="AD38" s="35" t="n"/>
      <c r="AE38" s="33" t="n"/>
      <c r="AF38" s="33" t="n"/>
      <c r="AG38" s="33" t="n"/>
      <c r="AH38" s="34">
        <f>IF(OR(AI38="G",AI38="D"),0,IF(AND(AE38="",AF38=""),0,MAX(0,IFERROR(AE38+0,0)+IFERROR(AF38+0,0)-IFERROR(AG38+0,0))))</f>
        <v/>
      </c>
      <c r="AI38" s="35" t="n"/>
      <c r="AJ38" s="36">
        <f>IF(B38="","",IF(OR(J38="G",J38="D"),0,I38)+IF(OR(O38="G",O38="D"),0,N38)+IF(OR(T38="G",T38="D"),0,S38)+IF(OR(Y38="G",Y38="D"),0,X38)+IF(OR(AD38="G",AD38="D"),0,AC38)+IF(OR(AI38="G",AI38="D"),0,AH38))</f>
        <v/>
      </c>
      <c r="AK38" s="37">
        <f>IF(OR(B38="",AJ38=0),"-",RANK.EQ(AJ38,$AJ$6:$AJ$45,0))</f>
        <v/>
      </c>
      <c r="AL38" s="35">
        <f>IF(OR(B38="",I38=0),"-",IF(OR(J38="G",J38="D"),IF(J38="G","G","D"),COUNTIF($I$6:$I$45,"&gt;"&amp;I38)+1))</f>
        <v/>
      </c>
      <c r="AM38" s="35">
        <f>IF(OR(B38="",N38=0),"-",IF(OR(O38="G",O38="D"),IF(O38="G","G","D"),COUNTIF($N$6:$N$45,"&gt;"&amp;N38)+1))</f>
        <v/>
      </c>
      <c r="AN38" s="35">
        <f>IF(OR(B38="",S38=0),"-",IF(OR(T38="G",T38="D"),IF(T38="G","G","D"),COUNTIF($S$6:$S$45,"&gt;"&amp;S38)+1))</f>
        <v/>
      </c>
      <c r="AO38" s="35">
        <f>IF(OR(B38="",X38=0),"-",IF(OR(Y38="G",Y38="D"),IF(Y38="G","G","D"),COUNTIF($X$6:$X$45,"&gt;"&amp;X38)+1))</f>
        <v/>
      </c>
      <c r="AP38" s="35">
        <f>IF(OR(B38="",AC38=0),"-",IF(OR(AD38="G",AD38="D"),IF(AD38="G","G","D"),COUNTIF($AC$6:$AC$45,"&gt;"&amp;AC38)+1))</f>
        <v/>
      </c>
      <c r="AQ38" s="35">
        <f>IF(OR(B38="",AH38=0),"-",IF(OR(AI38="G",AI38="D"),IF(AI38="G","G","D"),COUNTIF($AH$6:$AH$45,"&gt;"&amp;AH38)+1))</f>
        <v/>
      </c>
    </row>
    <row r="39">
      <c r="A39" s="38" t="n">
        <v>34</v>
      </c>
      <c r="B39" s="39" t="n"/>
      <c r="C39" s="39" t="n"/>
      <c r="D39" s="40" t="n"/>
      <c r="E39" s="41" t="n"/>
      <c r="F39" s="42" t="n"/>
      <c r="G39" s="42" t="n"/>
      <c r="H39" s="42" t="n"/>
      <c r="I39" s="34">
        <f>IF(OR(J39="G",J39="D"),0,IF(AND(F39="",G39=""),0,MAX(0,IFERROR(F39+0,0)+IFERROR(G39+0,0)-IFERROR(H39+0,0))))</f>
        <v/>
      </c>
      <c r="J39" s="43" t="n"/>
      <c r="K39" s="42" t="n"/>
      <c r="L39" s="42" t="n"/>
      <c r="M39" s="42" t="n"/>
      <c r="N39" s="34">
        <f>IF(OR(O39="G",O39="D"),0,IF(AND(K39="",L39=""),0,MAX(0,IFERROR(K39+0,0)+IFERROR(L39+0,0)-IFERROR(M39+0,0))))</f>
        <v/>
      </c>
      <c r="O39" s="43" t="n"/>
      <c r="P39" s="42" t="n"/>
      <c r="Q39" s="42" t="n"/>
      <c r="R39" s="42" t="n"/>
      <c r="S39" s="34">
        <f>IF(OR(T39="G",T39="D"),0,IF(AND(P39="",Q39=""),0,MAX(0,IFERROR(P39+0,0)+IFERROR(Q39+0,0)-IFERROR(R39+0,0))))</f>
        <v/>
      </c>
      <c r="T39" s="43" t="n"/>
      <c r="U39" s="42" t="n"/>
      <c r="V39" s="42" t="n"/>
      <c r="W39" s="42" t="n"/>
      <c r="X39" s="34">
        <f>IF(OR(Y39="G",Y39="D"),0,IF(AND(U39="",V39=""),0,MAX(0,IFERROR(U39+0,0)+IFERROR(V39+0,0)-IFERROR(W39+0,0))))</f>
        <v/>
      </c>
      <c r="Y39" s="43" t="n"/>
      <c r="Z39" s="42" t="n"/>
      <c r="AA39" s="42" t="n"/>
      <c r="AB39" s="42" t="n"/>
      <c r="AC39" s="34">
        <f>IF(OR(AD39="G",AD39="D"),0,IF(AND(Z39="",AA39=""),0,MAX(0,IFERROR(Z39+0,0)+IFERROR(AA39+0,0)-IFERROR(AB39+0,0))))</f>
        <v/>
      </c>
      <c r="AD39" s="43" t="n"/>
      <c r="AE39" s="42" t="n"/>
      <c r="AF39" s="42" t="n"/>
      <c r="AG39" s="42" t="n"/>
      <c r="AH39" s="34">
        <f>IF(OR(AI39="G",AI39="D"),0,IF(AND(AE39="",AF39=""),0,MAX(0,IFERROR(AE39+0,0)+IFERROR(AF39+0,0)-IFERROR(AG39+0,0))))</f>
        <v/>
      </c>
      <c r="AI39" s="43" t="n"/>
      <c r="AJ39" s="36">
        <f>IF(B39="","",IF(OR(J39="G",J39="D"),0,I39)+IF(OR(O39="G",O39="D"),0,N39)+IF(OR(T39="G",T39="D"),0,S39)+IF(OR(Y39="G",Y39="D"),0,X39)+IF(OR(AD39="G",AD39="D"),0,AC39)+IF(OR(AI39="G",AI39="D"),0,AH39))</f>
        <v/>
      </c>
      <c r="AK39" s="37">
        <f>IF(OR(B39="",AJ39=0),"-",RANK.EQ(AJ39,$AJ$6:$AJ$45,0))</f>
        <v/>
      </c>
      <c r="AL39" s="43">
        <f>IF(OR(B39="",I39=0),"-",IF(OR(J39="G",J39="D"),IF(J39="G","G","D"),COUNTIF($I$6:$I$45,"&gt;"&amp;I39)+1))</f>
        <v/>
      </c>
      <c r="AM39" s="43">
        <f>IF(OR(B39="",N39=0),"-",IF(OR(O39="G",O39="D"),IF(O39="G","G","D"),COUNTIF($N$6:$N$45,"&gt;"&amp;N39)+1))</f>
        <v/>
      </c>
      <c r="AN39" s="43">
        <f>IF(OR(B39="",S39=0),"-",IF(OR(T39="G",T39="D"),IF(T39="G","G","D"),COUNTIF($S$6:$S$45,"&gt;"&amp;S39)+1))</f>
        <v/>
      </c>
      <c r="AO39" s="43">
        <f>IF(OR(B39="",X39=0),"-",IF(OR(Y39="G",Y39="D"),IF(Y39="G","G","D"),COUNTIF($X$6:$X$45,"&gt;"&amp;X39)+1))</f>
        <v/>
      </c>
      <c r="AP39" s="43">
        <f>IF(OR(B39="",AC39=0),"-",IF(OR(AD39="G",AD39="D"),IF(AD39="G","G","D"),COUNTIF($AC$6:$AC$45,"&gt;"&amp;AC39)+1))</f>
        <v/>
      </c>
      <c r="AQ39" s="43">
        <f>IF(OR(B39="",AH39=0),"-",IF(OR(AI39="G",AI39="D"),IF(AI39="G","G","D"),COUNTIF($AH$6:$AH$45,"&gt;"&amp;AH39)+1))</f>
        <v/>
      </c>
    </row>
    <row r="40">
      <c r="A40" s="29" t="n">
        <v>35</v>
      </c>
      <c r="B40" s="30" t="n"/>
      <c r="C40" s="30" t="n"/>
      <c r="D40" s="31" t="n"/>
      <c r="E40" s="32" t="n"/>
      <c r="F40" s="33" t="n"/>
      <c r="G40" s="33" t="n"/>
      <c r="H40" s="33" t="n"/>
      <c r="I40" s="34">
        <f>IF(OR(J40="G",J40="D"),0,IF(AND(F40="",G40=""),0,MAX(0,IFERROR(F40+0,0)+IFERROR(G40+0,0)-IFERROR(H40+0,0))))</f>
        <v/>
      </c>
      <c r="J40" s="35" t="n"/>
      <c r="K40" s="33" t="n"/>
      <c r="L40" s="33" t="n"/>
      <c r="M40" s="33" t="n"/>
      <c r="N40" s="34">
        <f>IF(OR(O40="G",O40="D"),0,IF(AND(K40="",L40=""),0,MAX(0,IFERROR(K40+0,0)+IFERROR(L40+0,0)-IFERROR(M40+0,0))))</f>
        <v/>
      </c>
      <c r="O40" s="35" t="n"/>
      <c r="P40" s="33" t="n"/>
      <c r="Q40" s="33" t="n"/>
      <c r="R40" s="33" t="n"/>
      <c r="S40" s="34">
        <f>IF(OR(T40="G",T40="D"),0,IF(AND(P40="",Q40=""),0,MAX(0,IFERROR(P40+0,0)+IFERROR(Q40+0,0)-IFERROR(R40+0,0))))</f>
        <v/>
      </c>
      <c r="T40" s="35" t="n"/>
      <c r="U40" s="33" t="n"/>
      <c r="V40" s="33" t="n"/>
      <c r="W40" s="33" t="n"/>
      <c r="X40" s="34">
        <f>IF(OR(Y40="G",Y40="D"),0,IF(AND(U40="",V40=""),0,MAX(0,IFERROR(U40+0,0)+IFERROR(V40+0,0)-IFERROR(W40+0,0))))</f>
        <v/>
      </c>
      <c r="Y40" s="35" t="n"/>
      <c r="Z40" s="33" t="n"/>
      <c r="AA40" s="33" t="n"/>
      <c r="AB40" s="33" t="n"/>
      <c r="AC40" s="34">
        <f>IF(OR(AD40="G",AD40="D"),0,IF(AND(Z40="",AA40=""),0,MAX(0,IFERROR(Z40+0,0)+IFERROR(AA40+0,0)-IFERROR(AB40+0,0))))</f>
        <v/>
      </c>
      <c r="AD40" s="35" t="n"/>
      <c r="AE40" s="33" t="n"/>
      <c r="AF40" s="33" t="n"/>
      <c r="AG40" s="33" t="n"/>
      <c r="AH40" s="34">
        <f>IF(OR(AI40="G",AI40="D"),0,IF(AND(AE40="",AF40=""),0,MAX(0,IFERROR(AE40+0,0)+IFERROR(AF40+0,0)-IFERROR(AG40+0,0))))</f>
        <v/>
      </c>
      <c r="AI40" s="35" t="n"/>
      <c r="AJ40" s="36">
        <f>IF(B40="","",IF(OR(J40="G",J40="D"),0,I40)+IF(OR(O40="G",O40="D"),0,N40)+IF(OR(T40="G",T40="D"),0,S40)+IF(OR(Y40="G",Y40="D"),0,X40)+IF(OR(AD40="G",AD40="D"),0,AC40)+IF(OR(AI40="G",AI40="D"),0,AH40))</f>
        <v/>
      </c>
      <c r="AK40" s="37">
        <f>IF(OR(B40="",AJ40=0),"-",RANK.EQ(AJ40,$AJ$6:$AJ$45,0))</f>
        <v/>
      </c>
      <c r="AL40" s="35">
        <f>IF(OR(B40="",I40=0),"-",IF(OR(J40="G",J40="D"),IF(J40="G","G","D"),COUNTIF($I$6:$I$45,"&gt;"&amp;I40)+1))</f>
        <v/>
      </c>
      <c r="AM40" s="35">
        <f>IF(OR(B40="",N40=0),"-",IF(OR(O40="G",O40="D"),IF(O40="G","G","D"),COUNTIF($N$6:$N$45,"&gt;"&amp;N40)+1))</f>
        <v/>
      </c>
      <c r="AN40" s="35">
        <f>IF(OR(B40="",S40=0),"-",IF(OR(T40="G",T40="D"),IF(T40="G","G","D"),COUNTIF($S$6:$S$45,"&gt;"&amp;S40)+1))</f>
        <v/>
      </c>
      <c r="AO40" s="35">
        <f>IF(OR(B40="",X40=0),"-",IF(OR(Y40="G",Y40="D"),IF(Y40="G","G","D"),COUNTIF($X$6:$X$45,"&gt;"&amp;X40)+1))</f>
        <v/>
      </c>
      <c r="AP40" s="35">
        <f>IF(OR(B40="",AC40=0),"-",IF(OR(AD40="G",AD40="D"),IF(AD40="G","G","D"),COUNTIF($AC$6:$AC$45,"&gt;"&amp;AC40)+1))</f>
        <v/>
      </c>
      <c r="AQ40" s="35">
        <f>IF(OR(B40="",AH40=0),"-",IF(OR(AI40="G",AI40="D"),IF(AI40="G","G","D"),COUNTIF($AH$6:$AH$45,"&gt;"&amp;AH40)+1))</f>
        <v/>
      </c>
    </row>
    <row r="41">
      <c r="A41" s="38" t="n">
        <v>36</v>
      </c>
      <c r="B41" s="39" t="n"/>
      <c r="C41" s="39" t="n"/>
      <c r="D41" s="40" t="n"/>
      <c r="E41" s="41" t="n"/>
      <c r="F41" s="42" t="n"/>
      <c r="G41" s="42" t="n"/>
      <c r="H41" s="42" t="n"/>
      <c r="I41" s="34">
        <f>IF(OR(J41="G",J41="D"),0,IF(AND(F41="",G41=""),0,MAX(0,IFERROR(F41+0,0)+IFERROR(G41+0,0)-IFERROR(H41+0,0))))</f>
        <v/>
      </c>
      <c r="J41" s="43" t="n"/>
      <c r="K41" s="42" t="n"/>
      <c r="L41" s="42" t="n"/>
      <c r="M41" s="42" t="n"/>
      <c r="N41" s="34">
        <f>IF(OR(O41="G",O41="D"),0,IF(AND(K41="",L41=""),0,MAX(0,IFERROR(K41+0,0)+IFERROR(L41+0,0)-IFERROR(M41+0,0))))</f>
        <v/>
      </c>
      <c r="O41" s="43" t="n"/>
      <c r="P41" s="42" t="n"/>
      <c r="Q41" s="42" t="n"/>
      <c r="R41" s="42" t="n"/>
      <c r="S41" s="34">
        <f>IF(OR(T41="G",T41="D"),0,IF(AND(P41="",Q41=""),0,MAX(0,IFERROR(P41+0,0)+IFERROR(Q41+0,0)-IFERROR(R41+0,0))))</f>
        <v/>
      </c>
      <c r="T41" s="43" t="n"/>
      <c r="U41" s="42" t="n"/>
      <c r="V41" s="42" t="n"/>
      <c r="W41" s="42" t="n"/>
      <c r="X41" s="34">
        <f>IF(OR(Y41="G",Y41="D"),0,IF(AND(U41="",V41=""),0,MAX(0,IFERROR(U41+0,0)+IFERROR(V41+0,0)-IFERROR(W41+0,0))))</f>
        <v/>
      </c>
      <c r="Y41" s="43" t="n"/>
      <c r="Z41" s="42" t="n"/>
      <c r="AA41" s="42" t="n"/>
      <c r="AB41" s="42" t="n"/>
      <c r="AC41" s="34">
        <f>IF(OR(AD41="G",AD41="D"),0,IF(AND(Z41="",AA41=""),0,MAX(0,IFERROR(Z41+0,0)+IFERROR(AA41+0,0)-IFERROR(AB41+0,0))))</f>
        <v/>
      </c>
      <c r="AD41" s="43" t="n"/>
      <c r="AE41" s="42" t="n"/>
      <c r="AF41" s="42" t="n"/>
      <c r="AG41" s="42" t="n"/>
      <c r="AH41" s="34">
        <f>IF(OR(AI41="G",AI41="D"),0,IF(AND(AE41="",AF41=""),0,MAX(0,IFERROR(AE41+0,0)+IFERROR(AF41+0,0)-IFERROR(AG41+0,0))))</f>
        <v/>
      </c>
      <c r="AI41" s="43" t="n"/>
      <c r="AJ41" s="36">
        <f>IF(B41="","",IF(OR(J41="G",J41="D"),0,I41)+IF(OR(O41="G",O41="D"),0,N41)+IF(OR(T41="G",T41="D"),0,S41)+IF(OR(Y41="G",Y41="D"),0,X41)+IF(OR(AD41="G",AD41="D"),0,AC41)+IF(OR(AI41="G",AI41="D"),0,AH41))</f>
        <v/>
      </c>
      <c r="AK41" s="37">
        <f>IF(OR(B41="",AJ41=0),"-",RANK.EQ(AJ41,$AJ$6:$AJ$45,0))</f>
        <v/>
      </c>
      <c r="AL41" s="43">
        <f>IF(OR(B41="",I41=0),"-",IF(OR(J41="G",J41="D"),IF(J41="G","G","D"),COUNTIF($I$6:$I$45,"&gt;"&amp;I41)+1))</f>
        <v/>
      </c>
      <c r="AM41" s="43">
        <f>IF(OR(B41="",N41=0),"-",IF(OR(O41="G",O41="D"),IF(O41="G","G","D"),COUNTIF($N$6:$N$45,"&gt;"&amp;N41)+1))</f>
        <v/>
      </c>
      <c r="AN41" s="43">
        <f>IF(OR(B41="",S41=0),"-",IF(OR(T41="G",T41="D"),IF(T41="G","G","D"),COUNTIF($S$6:$S$45,"&gt;"&amp;S41)+1))</f>
        <v/>
      </c>
      <c r="AO41" s="43">
        <f>IF(OR(B41="",X41=0),"-",IF(OR(Y41="G",Y41="D"),IF(Y41="G","G","D"),COUNTIF($X$6:$X$45,"&gt;"&amp;X41)+1))</f>
        <v/>
      </c>
      <c r="AP41" s="43">
        <f>IF(OR(B41="",AC41=0),"-",IF(OR(AD41="G",AD41="D"),IF(AD41="G","G","D"),COUNTIF($AC$6:$AC$45,"&gt;"&amp;AC41)+1))</f>
        <v/>
      </c>
      <c r="AQ41" s="43">
        <f>IF(OR(B41="",AH41=0),"-",IF(OR(AI41="G",AI41="D"),IF(AI41="G","G","D"),COUNTIF($AH$6:$AH$45,"&gt;"&amp;AH41)+1))</f>
        <v/>
      </c>
    </row>
    <row r="42">
      <c r="A42" s="29" t="n">
        <v>37</v>
      </c>
      <c r="B42" s="30" t="n"/>
      <c r="C42" s="30" t="n"/>
      <c r="D42" s="31" t="n"/>
      <c r="E42" s="32" t="n"/>
      <c r="F42" s="33" t="n"/>
      <c r="G42" s="33" t="n"/>
      <c r="H42" s="33" t="n"/>
      <c r="I42" s="34">
        <f>IF(OR(J42="G",J42="D"),0,IF(AND(F42="",G42=""),0,MAX(0,IFERROR(F42+0,0)+IFERROR(G42+0,0)-IFERROR(H42+0,0))))</f>
        <v/>
      </c>
      <c r="J42" s="35" t="n"/>
      <c r="K42" s="33" t="n"/>
      <c r="L42" s="33" t="n"/>
      <c r="M42" s="33" t="n"/>
      <c r="N42" s="34">
        <f>IF(OR(O42="G",O42="D"),0,IF(AND(K42="",L42=""),0,MAX(0,IFERROR(K42+0,0)+IFERROR(L42+0,0)-IFERROR(M42+0,0))))</f>
        <v/>
      </c>
      <c r="O42" s="35" t="n"/>
      <c r="P42" s="33" t="n"/>
      <c r="Q42" s="33" t="n"/>
      <c r="R42" s="33" t="n"/>
      <c r="S42" s="34">
        <f>IF(OR(T42="G",T42="D"),0,IF(AND(P42="",Q42=""),0,MAX(0,IFERROR(P42+0,0)+IFERROR(Q42+0,0)-IFERROR(R42+0,0))))</f>
        <v/>
      </c>
      <c r="T42" s="35" t="n"/>
      <c r="U42" s="33" t="n"/>
      <c r="V42" s="33" t="n"/>
      <c r="W42" s="33" t="n"/>
      <c r="X42" s="34">
        <f>IF(OR(Y42="G",Y42="D"),0,IF(AND(U42="",V42=""),0,MAX(0,IFERROR(U42+0,0)+IFERROR(V42+0,0)-IFERROR(W42+0,0))))</f>
        <v/>
      </c>
      <c r="Y42" s="35" t="n"/>
      <c r="Z42" s="33" t="n"/>
      <c r="AA42" s="33" t="n"/>
      <c r="AB42" s="33" t="n"/>
      <c r="AC42" s="34">
        <f>IF(OR(AD42="G",AD42="D"),0,IF(AND(Z42="",AA42=""),0,MAX(0,IFERROR(Z42+0,0)+IFERROR(AA42+0,0)-IFERROR(AB42+0,0))))</f>
        <v/>
      </c>
      <c r="AD42" s="35" t="n"/>
      <c r="AE42" s="33" t="n"/>
      <c r="AF42" s="33" t="n"/>
      <c r="AG42" s="33" t="n"/>
      <c r="AH42" s="34">
        <f>IF(OR(AI42="G",AI42="D"),0,IF(AND(AE42="",AF42=""),0,MAX(0,IFERROR(AE42+0,0)+IFERROR(AF42+0,0)-IFERROR(AG42+0,0))))</f>
        <v/>
      </c>
      <c r="AI42" s="35" t="n"/>
      <c r="AJ42" s="36">
        <f>IF(B42="","",IF(OR(J42="G",J42="D"),0,I42)+IF(OR(O42="G",O42="D"),0,N42)+IF(OR(T42="G",T42="D"),0,S42)+IF(OR(Y42="G",Y42="D"),0,X42)+IF(OR(AD42="G",AD42="D"),0,AC42)+IF(OR(AI42="G",AI42="D"),0,AH42))</f>
        <v/>
      </c>
      <c r="AK42" s="37">
        <f>IF(OR(B42="",AJ42=0),"-",RANK.EQ(AJ42,$AJ$6:$AJ$45,0))</f>
        <v/>
      </c>
      <c r="AL42" s="35">
        <f>IF(OR(B42="",I42=0),"-",IF(OR(J42="G",J42="D"),IF(J42="G","G","D"),COUNTIF($I$6:$I$45,"&gt;"&amp;I42)+1))</f>
        <v/>
      </c>
      <c r="AM42" s="35">
        <f>IF(OR(B42="",N42=0),"-",IF(OR(O42="G",O42="D"),IF(O42="G","G","D"),COUNTIF($N$6:$N$45,"&gt;"&amp;N42)+1))</f>
        <v/>
      </c>
      <c r="AN42" s="35">
        <f>IF(OR(B42="",S42=0),"-",IF(OR(T42="G",T42="D"),IF(T42="G","G","D"),COUNTIF($S$6:$S$45,"&gt;"&amp;S42)+1))</f>
        <v/>
      </c>
      <c r="AO42" s="35">
        <f>IF(OR(B42="",X42=0),"-",IF(OR(Y42="G",Y42="D"),IF(Y42="G","G","D"),COUNTIF($X$6:$X$45,"&gt;"&amp;X42)+1))</f>
        <v/>
      </c>
      <c r="AP42" s="35">
        <f>IF(OR(B42="",AC42=0),"-",IF(OR(AD42="G",AD42="D"),IF(AD42="G","G","D"),COUNTIF($AC$6:$AC$45,"&gt;"&amp;AC42)+1))</f>
        <v/>
      </c>
      <c r="AQ42" s="35">
        <f>IF(OR(B42="",AH42=0),"-",IF(OR(AI42="G",AI42="D"),IF(AI42="G","G","D"),COUNTIF($AH$6:$AH$45,"&gt;"&amp;AH42)+1))</f>
        <v/>
      </c>
    </row>
    <row r="43">
      <c r="A43" s="38" t="n">
        <v>38</v>
      </c>
      <c r="B43" s="39" t="n"/>
      <c r="C43" s="39" t="n"/>
      <c r="D43" s="40" t="n"/>
      <c r="E43" s="41" t="n"/>
      <c r="F43" s="42" t="n"/>
      <c r="G43" s="42" t="n"/>
      <c r="H43" s="42" t="n"/>
      <c r="I43" s="34">
        <f>IF(OR(J43="G",J43="D"),0,IF(AND(F43="",G43=""),0,MAX(0,IFERROR(F43+0,0)+IFERROR(G43+0,0)-IFERROR(H43+0,0))))</f>
        <v/>
      </c>
      <c r="J43" s="43" t="n"/>
      <c r="K43" s="42" t="n"/>
      <c r="L43" s="42" t="n"/>
      <c r="M43" s="42" t="n"/>
      <c r="N43" s="34">
        <f>IF(OR(O43="G",O43="D"),0,IF(AND(K43="",L43=""),0,MAX(0,IFERROR(K43+0,0)+IFERROR(L43+0,0)-IFERROR(M43+0,0))))</f>
        <v/>
      </c>
      <c r="O43" s="43" t="n"/>
      <c r="P43" s="42" t="n"/>
      <c r="Q43" s="42" t="n"/>
      <c r="R43" s="42" t="n"/>
      <c r="S43" s="34">
        <f>IF(OR(T43="G",T43="D"),0,IF(AND(P43="",Q43=""),0,MAX(0,IFERROR(P43+0,0)+IFERROR(Q43+0,0)-IFERROR(R43+0,0))))</f>
        <v/>
      </c>
      <c r="T43" s="43" t="n"/>
      <c r="U43" s="42" t="n"/>
      <c r="V43" s="42" t="n"/>
      <c r="W43" s="42" t="n"/>
      <c r="X43" s="34">
        <f>IF(OR(Y43="G",Y43="D"),0,IF(AND(U43="",V43=""),0,MAX(0,IFERROR(U43+0,0)+IFERROR(V43+0,0)-IFERROR(W43+0,0))))</f>
        <v/>
      </c>
      <c r="Y43" s="43" t="n"/>
      <c r="Z43" s="42" t="n"/>
      <c r="AA43" s="42" t="n"/>
      <c r="AB43" s="42" t="n"/>
      <c r="AC43" s="34">
        <f>IF(OR(AD43="G",AD43="D"),0,IF(AND(Z43="",AA43=""),0,MAX(0,IFERROR(Z43+0,0)+IFERROR(AA43+0,0)-IFERROR(AB43+0,0))))</f>
        <v/>
      </c>
      <c r="AD43" s="43" t="n"/>
      <c r="AE43" s="42" t="n"/>
      <c r="AF43" s="42" t="n"/>
      <c r="AG43" s="42" t="n"/>
      <c r="AH43" s="34">
        <f>IF(OR(AI43="G",AI43="D"),0,IF(AND(AE43="",AF43=""),0,MAX(0,IFERROR(AE43+0,0)+IFERROR(AF43+0,0)-IFERROR(AG43+0,0))))</f>
        <v/>
      </c>
      <c r="AI43" s="43" t="n"/>
      <c r="AJ43" s="36">
        <f>IF(B43="","",IF(OR(J43="G",J43="D"),0,I43)+IF(OR(O43="G",O43="D"),0,N43)+IF(OR(T43="G",T43="D"),0,S43)+IF(OR(Y43="G",Y43="D"),0,X43)+IF(OR(AD43="G",AD43="D"),0,AC43)+IF(OR(AI43="G",AI43="D"),0,AH43))</f>
        <v/>
      </c>
      <c r="AK43" s="37">
        <f>IF(OR(B43="",AJ43=0),"-",RANK.EQ(AJ43,$AJ$6:$AJ$45,0))</f>
        <v/>
      </c>
      <c r="AL43" s="43">
        <f>IF(OR(B43="",I43=0),"-",IF(OR(J43="G",J43="D"),IF(J43="G","G","D"),COUNTIF($I$6:$I$45,"&gt;"&amp;I43)+1))</f>
        <v/>
      </c>
      <c r="AM43" s="43">
        <f>IF(OR(B43="",N43=0),"-",IF(OR(O43="G",O43="D"),IF(O43="G","G","D"),COUNTIF($N$6:$N$45,"&gt;"&amp;N43)+1))</f>
        <v/>
      </c>
      <c r="AN43" s="43">
        <f>IF(OR(B43="",S43=0),"-",IF(OR(T43="G",T43="D"),IF(T43="G","G","D"),COUNTIF($S$6:$S$45,"&gt;"&amp;S43)+1))</f>
        <v/>
      </c>
      <c r="AO43" s="43">
        <f>IF(OR(B43="",X43=0),"-",IF(OR(Y43="G",Y43="D"),IF(Y43="G","G","D"),COUNTIF($X$6:$X$45,"&gt;"&amp;X43)+1))</f>
        <v/>
      </c>
      <c r="AP43" s="43">
        <f>IF(OR(B43="",AC43=0),"-",IF(OR(AD43="G",AD43="D"),IF(AD43="G","G","D"),COUNTIF($AC$6:$AC$45,"&gt;"&amp;AC43)+1))</f>
        <v/>
      </c>
      <c r="AQ43" s="43">
        <f>IF(OR(B43="",AH43=0),"-",IF(OR(AI43="G",AI43="D"),IF(AI43="G","G","D"),COUNTIF($AH$6:$AH$45,"&gt;"&amp;AH43)+1))</f>
        <v/>
      </c>
    </row>
    <row r="44">
      <c r="A44" s="29" t="n">
        <v>39</v>
      </c>
      <c r="B44" s="30" t="n"/>
      <c r="C44" s="30" t="n"/>
      <c r="D44" s="31" t="n"/>
      <c r="E44" s="32" t="n"/>
      <c r="F44" s="33" t="n"/>
      <c r="G44" s="33" t="n"/>
      <c r="H44" s="33" t="n"/>
      <c r="I44" s="34">
        <f>IF(OR(J44="G",J44="D"),0,IF(AND(F44="",G44=""),0,MAX(0,IFERROR(F44+0,0)+IFERROR(G44+0,0)-IFERROR(H44+0,0))))</f>
        <v/>
      </c>
      <c r="J44" s="35" t="n"/>
      <c r="K44" s="33" t="n"/>
      <c r="L44" s="33" t="n"/>
      <c r="M44" s="33" t="n"/>
      <c r="N44" s="34">
        <f>IF(OR(O44="G",O44="D"),0,IF(AND(K44="",L44=""),0,MAX(0,IFERROR(K44+0,0)+IFERROR(L44+0,0)-IFERROR(M44+0,0))))</f>
        <v/>
      </c>
      <c r="O44" s="35" t="n"/>
      <c r="P44" s="33" t="n"/>
      <c r="Q44" s="33" t="n"/>
      <c r="R44" s="33" t="n"/>
      <c r="S44" s="34">
        <f>IF(OR(T44="G",T44="D"),0,IF(AND(P44="",Q44=""),0,MAX(0,IFERROR(P44+0,0)+IFERROR(Q44+0,0)-IFERROR(R44+0,0))))</f>
        <v/>
      </c>
      <c r="T44" s="35" t="n"/>
      <c r="U44" s="33" t="n"/>
      <c r="V44" s="33" t="n"/>
      <c r="W44" s="33" t="n"/>
      <c r="X44" s="34">
        <f>IF(OR(Y44="G",Y44="D"),0,IF(AND(U44="",V44=""),0,MAX(0,IFERROR(U44+0,0)+IFERROR(V44+0,0)-IFERROR(W44+0,0))))</f>
        <v/>
      </c>
      <c r="Y44" s="35" t="n"/>
      <c r="Z44" s="33" t="n"/>
      <c r="AA44" s="33" t="n"/>
      <c r="AB44" s="33" t="n"/>
      <c r="AC44" s="34">
        <f>IF(OR(AD44="G",AD44="D"),0,IF(AND(Z44="",AA44=""),0,MAX(0,IFERROR(Z44+0,0)+IFERROR(AA44+0,0)-IFERROR(AB44+0,0))))</f>
        <v/>
      </c>
      <c r="AD44" s="35" t="n"/>
      <c r="AE44" s="33" t="n"/>
      <c r="AF44" s="33" t="n"/>
      <c r="AG44" s="33" t="n"/>
      <c r="AH44" s="34">
        <f>IF(OR(AI44="G",AI44="D"),0,IF(AND(AE44="",AF44=""),0,MAX(0,IFERROR(AE44+0,0)+IFERROR(AF44+0,0)-IFERROR(AG44+0,0))))</f>
        <v/>
      </c>
      <c r="AI44" s="35" t="n"/>
      <c r="AJ44" s="36">
        <f>IF(B44="","",IF(OR(J44="G",J44="D"),0,I44)+IF(OR(O44="G",O44="D"),0,N44)+IF(OR(T44="G",T44="D"),0,S44)+IF(OR(Y44="G",Y44="D"),0,X44)+IF(OR(AD44="G",AD44="D"),0,AC44)+IF(OR(AI44="G",AI44="D"),0,AH44))</f>
        <v/>
      </c>
      <c r="AK44" s="37">
        <f>IF(OR(B44="",AJ44=0),"-",RANK.EQ(AJ44,$AJ$6:$AJ$45,0))</f>
        <v/>
      </c>
      <c r="AL44" s="35">
        <f>IF(OR(B44="",I44=0),"-",IF(OR(J44="G",J44="D"),IF(J44="G","G","D"),COUNTIF($I$6:$I$45,"&gt;"&amp;I44)+1))</f>
        <v/>
      </c>
      <c r="AM44" s="35">
        <f>IF(OR(B44="",N44=0),"-",IF(OR(O44="G",O44="D"),IF(O44="G","G","D"),COUNTIF($N$6:$N$45,"&gt;"&amp;N44)+1))</f>
        <v/>
      </c>
      <c r="AN44" s="35">
        <f>IF(OR(B44="",S44=0),"-",IF(OR(T44="G",T44="D"),IF(T44="G","G","D"),COUNTIF($S$6:$S$45,"&gt;"&amp;S44)+1))</f>
        <v/>
      </c>
      <c r="AO44" s="35">
        <f>IF(OR(B44="",X44=0),"-",IF(OR(Y44="G",Y44="D"),IF(Y44="G","G","D"),COUNTIF($X$6:$X$45,"&gt;"&amp;X44)+1))</f>
        <v/>
      </c>
      <c r="AP44" s="35">
        <f>IF(OR(B44="",AC44=0),"-",IF(OR(AD44="G",AD44="D"),IF(AD44="G","G","D"),COUNTIF($AC$6:$AC$45,"&gt;"&amp;AC44)+1))</f>
        <v/>
      </c>
      <c r="AQ44" s="35">
        <f>IF(OR(B44="",AH44=0),"-",IF(OR(AI44="G",AI44="D"),IF(AI44="G","G","D"),COUNTIF($AH$6:$AH$45,"&gt;"&amp;AH44)+1))</f>
        <v/>
      </c>
    </row>
    <row r="45">
      <c r="A45" s="38" t="n">
        <v>40</v>
      </c>
      <c r="B45" s="39" t="n"/>
      <c r="C45" s="39" t="n"/>
      <c r="D45" s="40" t="n"/>
      <c r="E45" s="41" t="n"/>
      <c r="F45" s="42" t="n"/>
      <c r="G45" s="42" t="n"/>
      <c r="H45" s="42" t="n"/>
      <c r="I45" s="34">
        <f>IF(OR(J45="G",J45="D"),0,IF(AND(F45="",G45=""),0,MAX(0,IFERROR(F45+0,0)+IFERROR(G45+0,0)-IFERROR(H45+0,0))))</f>
        <v/>
      </c>
      <c r="J45" s="43" t="n"/>
      <c r="K45" s="42" t="n"/>
      <c r="L45" s="42" t="n"/>
      <c r="M45" s="42" t="n"/>
      <c r="N45" s="34">
        <f>IF(OR(O45="G",O45="D"),0,IF(AND(K45="",L45=""),0,MAX(0,IFERROR(K45+0,0)+IFERROR(L45+0,0)-IFERROR(M45+0,0))))</f>
        <v/>
      </c>
      <c r="O45" s="43" t="n"/>
      <c r="P45" s="42" t="n"/>
      <c r="Q45" s="42" t="n"/>
      <c r="R45" s="42" t="n"/>
      <c r="S45" s="34">
        <f>IF(OR(T45="G",T45="D"),0,IF(AND(P45="",Q45=""),0,MAX(0,IFERROR(P45+0,0)+IFERROR(Q45+0,0)-IFERROR(R45+0,0))))</f>
        <v/>
      </c>
      <c r="T45" s="43" t="n"/>
      <c r="U45" s="42" t="n"/>
      <c r="V45" s="42" t="n"/>
      <c r="W45" s="42" t="n"/>
      <c r="X45" s="34">
        <f>IF(OR(Y45="G",Y45="D"),0,IF(AND(U45="",V45=""),0,MAX(0,IFERROR(U45+0,0)+IFERROR(V45+0,0)-IFERROR(W45+0,0))))</f>
        <v/>
      </c>
      <c r="Y45" s="43" t="n"/>
      <c r="Z45" s="42" t="n"/>
      <c r="AA45" s="42" t="n"/>
      <c r="AB45" s="42" t="n"/>
      <c r="AC45" s="34">
        <f>IF(OR(AD45="G",AD45="D"),0,IF(AND(Z45="",AA45=""),0,MAX(0,IFERROR(Z45+0,0)+IFERROR(AA45+0,0)-IFERROR(AB45+0,0))))</f>
        <v/>
      </c>
      <c r="AD45" s="43" t="n"/>
      <c r="AE45" s="42" t="n"/>
      <c r="AF45" s="42" t="n"/>
      <c r="AG45" s="42" t="n"/>
      <c r="AH45" s="34">
        <f>IF(OR(AI45="G",AI45="D"),0,IF(AND(AE45="",AF45=""),0,MAX(0,IFERROR(AE45+0,0)+IFERROR(AF45+0,0)-IFERROR(AG45+0,0))))</f>
        <v/>
      </c>
      <c r="AI45" s="43" t="n"/>
      <c r="AJ45" s="36">
        <f>IF(B45="","",IF(OR(J45="G",J45="D"),0,I45)+IF(OR(O45="G",O45="D"),0,N45)+IF(OR(T45="G",T45="D"),0,S45)+IF(OR(Y45="G",Y45="D"),0,X45)+IF(OR(AD45="G",AD45="D"),0,AC45)+IF(OR(AI45="G",AI45="D"),0,AH45))</f>
        <v/>
      </c>
      <c r="AK45" s="37">
        <f>IF(OR(B45="",AJ45=0),"-",RANK.EQ(AJ45,$AJ$6:$AJ$45,0))</f>
        <v/>
      </c>
      <c r="AL45" s="43">
        <f>IF(OR(B45="",I45=0),"-",IF(OR(J45="G",J45="D"),IF(J45="G","G","D"),COUNTIF($I$6:$I$45,"&gt;"&amp;I45)+1))</f>
        <v/>
      </c>
      <c r="AM45" s="43">
        <f>IF(OR(B45="",N45=0),"-",IF(OR(O45="G",O45="D"),IF(O45="G","G","D"),COUNTIF($N$6:$N$45,"&gt;"&amp;N45)+1))</f>
        <v/>
      </c>
      <c r="AN45" s="43">
        <f>IF(OR(B45="",S45=0),"-",IF(OR(T45="G",T45="D"),IF(T45="G","G","D"),COUNTIF($S$6:$S$45,"&gt;"&amp;S45)+1))</f>
        <v/>
      </c>
      <c r="AO45" s="43">
        <f>IF(OR(B45="",X45=0),"-",IF(OR(Y45="G",Y45="D"),IF(Y45="G","G","D"),COUNTIF($X$6:$X$45,"&gt;"&amp;X45)+1))</f>
        <v/>
      </c>
      <c r="AP45" s="43">
        <f>IF(OR(B45="",AC45=0),"-",IF(OR(AD45="G",AD45="D"),IF(AD45="G","G","D"),COUNTIF($AC$6:$AC$45,"&gt;"&amp;AC45)+1))</f>
        <v/>
      </c>
      <c r="AQ45" s="43">
        <f>IF(OR(B45="",AH45=0),"-",IF(OR(AI45="G",AI45="D"),IF(AI45="G","G","D"),COUNTIF($AH$6:$AH$45,"&gt;"&amp;AH45)+1))</f>
        <v/>
      </c>
    </row>
    <row r="47">
      <c r="A47" s="44">
        <f>COUNTA(B6:B45)&amp;" sporcu kayıtlı"</f>
        <v/>
      </c>
    </row>
  </sheetData>
  <mergeCells count="11">
    <mergeCell ref="K3:O3"/>
    <mergeCell ref="Z3:AD3"/>
    <mergeCell ref="F3:J3"/>
    <mergeCell ref="P3:T3"/>
    <mergeCell ref="AE3:AI3"/>
    <mergeCell ref="A5:AQ5"/>
    <mergeCell ref="U3:Y3"/>
    <mergeCell ref="A2:AQ2"/>
    <mergeCell ref="A47:E47"/>
    <mergeCell ref="A1:AQ1"/>
    <mergeCell ref="AL3:AQ3"/>
  </mergeCells>
  <conditionalFormatting sqref="AK6:AK45">
    <cfRule type="cellIs" priority="1" operator="equal" dxfId="0">
      <formula>1</formula>
    </cfRule>
    <cfRule type="cellIs" priority="2" operator="equal" dxfId="1">
      <formula>2</formula>
    </cfRule>
    <cfRule type="cellIs" priority="3" operator="equal" dxfId="2">
      <formula>3</formula>
    </cfRule>
  </conditionalFormatting>
  <conditionalFormatting sqref="J6:J45">
    <cfRule type="cellIs" priority="4" operator="equal" dxfId="3">
      <formula>"G"</formula>
    </cfRule>
    <cfRule type="cellIs" priority="5" operator="equal" dxfId="4">
      <formula>"D"</formula>
    </cfRule>
  </conditionalFormatting>
  <conditionalFormatting sqref="O6:O45">
    <cfRule type="cellIs" priority="6" operator="equal" dxfId="3">
      <formula>"G"</formula>
    </cfRule>
    <cfRule type="cellIs" priority="7" operator="equal" dxfId="4">
      <formula>"D"</formula>
    </cfRule>
  </conditionalFormatting>
  <conditionalFormatting sqref="T6:T45">
    <cfRule type="cellIs" priority="8" operator="equal" dxfId="3">
      <formula>"G"</formula>
    </cfRule>
    <cfRule type="cellIs" priority="9" operator="equal" dxfId="4">
      <formula>"D"</formula>
    </cfRule>
  </conditionalFormatting>
  <conditionalFormatting sqref="Y6:Y45">
    <cfRule type="cellIs" priority="10" operator="equal" dxfId="3">
      <formula>"G"</formula>
    </cfRule>
    <cfRule type="cellIs" priority="11" operator="equal" dxfId="4">
      <formula>"D"</formula>
    </cfRule>
  </conditionalFormatting>
  <conditionalFormatting sqref="AD6:AD45">
    <cfRule type="cellIs" priority="12" operator="equal" dxfId="3">
      <formula>"G"</formula>
    </cfRule>
    <cfRule type="cellIs" priority="13" operator="equal" dxfId="4">
      <formula>"D"</formula>
    </cfRule>
  </conditionalFormatting>
  <conditionalFormatting sqref="AI6:AI45">
    <cfRule type="cellIs" priority="14" operator="equal" dxfId="3">
      <formula>"G"</formula>
    </cfRule>
    <cfRule type="cellIs" priority="15" operator="equal" dxfId="4">
      <formula>"D"</formula>
    </cfRule>
  </conditionalFormatting>
  <dataValidations count="2">
    <dataValidation sqref="E6 E7 E8 E9 E10 E11 E12 E13 E14 E15 E16 E17 E18 E19 E20 E21 E22 E23 E24 E25 E26 E27 E28 E29 E30 E31 E32 E33 E34 E35 E36 E37 E38 E39 E40 E41 E42 E43 E44 E45" showDropDown="0" showInputMessage="0" showErrorMessage="0" allowBlank="1" type="list">
      <formula1>"Bireysel,Takım"</formula1>
    </dataValidation>
    <dataValidation sqref="J6 J7 J8 J9 J10 J11 J12 J13 J14 J15 J16 J17 J18 J19 J20 J21 J22 J23 J24 J25 J26 J27 J28 J29 J30 J31 J32 J33 J34 J35 J36 J37 J38 J39 J40 J41 J42 J43 J44 J45 O6 O7 O8 O9 O10 O11 O12 O13 O14 O15 O16 O17 O18 O19 O20 O21 O22 O23 O24 O25 O26 O27 O28 O29 O30 O31 O32 O33 O34 O35 O36 O37 O38 O39 O40 O41 O42 O43 O44 O45 T6 T7 T8 T9 T10 T11 T12 T13 T14 T15 T16 T17 T18 T19 T20 T21 T22 T23 T24 T25 T26 T27 T28 T29 T30 T31 T32 T33 T34 T35 T36 T37 T38 T39 T40 T41 T42 T43 T44 T45 Y6 Y7 Y8 Y9 Y10 Y11 Y12 Y13 Y14 Y15 Y16 Y17 Y18 Y19 Y20 Y21 Y22 Y23 Y24 Y25 Y26 Y27 Y28 Y29 Y30 Y31 Y32 Y33 Y34 Y35 Y36 Y37 Y38 Y39 Y40 Y41 Y42 Y43 Y44 Y45 AD6 AD7 AD8 AD9 AD10 AD11 AD12 AD13 AD14 AD15 AD16 AD17 AD18 AD19 AD20 AD21 AD22 AD23 AD24 AD25 AD26 AD27 AD28 AD29 AD30 AD31 AD32 AD33 AD34 AD35 AD36 AD37 AD38 AD39 AD40 AD41 AD42 AD43 AD44 AD45 AI6 AI7 AI8 AI9 AI10 AI11 AI12 AI13 AI14 AI15 AI16 AI17 AI18 AI19 AI20 AI21 AI22 AI23 AI24 AI25 AI26 AI27 AI28 AI29 AI30 AI31 AI32 AI33 AI34 AI35 AI36 AI37 AI38 AI39 AI40 AI41 AI42 AI43 AI44 AI45" showDropDown="0" showInputMessage="0" showErrorMessage="0" allowBlank="1" type="list">
      <formula1>"N,G,D"</formula1>
    </dataValidation>
  </dataValidations>
  <pageMargins left="0.4" right="0.4" top="0.5" bottom="0.5" header="0.5" footer="0.5"/>
  <pageSetup orientation="landscape" fitToWidth="1"/>
</worksheet>
</file>

<file path=xl/worksheets/sheet13.xml><?xml version="1.0" encoding="utf-8"?>
<worksheet xmlns="http://schemas.openxmlformats.org/spreadsheetml/2006/main">
  <sheetPr>
    <outlinePr summaryBelow="1" summaryRight="1"/>
    <pageSetUpPr fitToPage="1"/>
  </sheetPr>
  <dimension ref="A1:K241"/>
  <sheetViews>
    <sheetView showGridLines="0" workbookViewId="0">
      <pane ySplit="2" topLeftCell="A3" activePane="bottomLeft" state="frozen"/>
      <selection pane="bottomLeft" activeCell="A1" sqref="A1"/>
    </sheetView>
  </sheetViews>
  <sheetFormatPr baseColWidth="8" defaultRowHeight="15"/>
  <cols>
    <col width="2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ht="34" customHeight="1">
      <c r="A1" s="19" t="inlineStr">
        <is>
          <t>TAKIM SIRALAMASI  —  TÜM KATEGORİLER</t>
        </is>
      </c>
    </row>
    <row r="2" ht="16" customHeight="1">
      <c r="A2" s="23" t="inlineStr">
        <is>
          <t>Takım adını A sütununa girin. En İyi 3 değerleri otomatik çekilir. Eski Excel (2016) için formül hücrelerini Ctrl+Shift+Enter ile onaylayın.</t>
        </is>
      </c>
    </row>
    <row r="4" ht="24" customHeight="1">
      <c r="A4" s="49" t="inlineStr">
        <is>
          <t>MİNİK A KIZLAR  —  TAKIM SIRALAMASI</t>
        </is>
      </c>
    </row>
    <row r="5" ht="22" customHeight="1">
      <c r="A5" s="27" t="inlineStr">
        <is>
          <t>TAKIM ADI</t>
        </is>
      </c>
      <c r="B5" s="27" t="inlineStr">
        <is>
          <t>En İyi 3
VT</t>
        </is>
      </c>
      <c r="C5" s="27" t="inlineStr">
        <is>
          <t>En İyi 3
FX</t>
        </is>
      </c>
      <c r="D5" s="27" t="inlineStr">
        <is>
          <t>TOPLAM</t>
        </is>
      </c>
      <c r="E5" s="27" t="inlineStr">
        <is>
          <t>KESİNTİ</t>
        </is>
      </c>
      <c r="F5" s="27" t="inlineStr">
        <is>
          <t>FİNAL PUAN</t>
        </is>
      </c>
      <c r="G5" s="27" t="inlineStr">
        <is>
          <t>SIRALAMA</t>
        </is>
      </c>
    </row>
    <row r="6">
      <c r="A6" s="50" t="n"/>
      <c r="B6" s="33">
        <f>IFERROR(SUMPRODUCT(LARGE(IF(('MİNİK A KIZLAR'!$D$6:$D$45=A6)*('MİNİK A KIZLAR'!$E$6:$E$45="Takım"),'MİNİK A KIZLAR'!$I$6:$I$45,0),{1,2,3})),0)</f>
        <v/>
      </c>
      <c r="C6" s="33">
        <f>IFERROR(SUMPRODUCT(LARGE(IF(('MİNİK A KIZLAR'!$D$6:$D$45=A6)*('MİNİK A KIZLAR'!$E$6:$E$45="Takım"),'MİNİK A KIZLAR'!$N$6:$N$45,0),{1,2,3})),0)</f>
        <v/>
      </c>
      <c r="D6" s="36">
        <f>B6+C6</f>
        <v/>
      </c>
      <c r="E6" s="51" t="n">
        <v>0</v>
      </c>
      <c r="F6" s="36">
        <f>IF(A6="","",D6-IFERROR(E6+0,0))</f>
        <v/>
      </c>
      <c r="G6" s="37">
        <f>IF(A6="","-",RANK.EQ(F6,$F$6:$F$25,0))</f>
        <v/>
      </c>
    </row>
    <row r="7">
      <c r="A7" s="52" t="n"/>
      <c r="B7" s="53">
        <f>IFERROR(SUMPRODUCT(LARGE(IF(('MİNİK A KIZLAR'!$D$6:$D$45=A7)*('MİNİK A KIZLAR'!$E$6:$E$45="Takım"),'MİNİK A KIZLAR'!$I$6:$I$45,0),{1,2,3})),0)</f>
        <v/>
      </c>
      <c r="C7" s="53">
        <f>IFERROR(SUMPRODUCT(LARGE(IF(('MİNİK A KIZLAR'!$D$6:$D$45=A7)*('MİNİK A KIZLAR'!$E$6:$E$45="Takım"),'MİNİK A KIZLAR'!$N$6:$N$45,0),{1,2,3})),0)</f>
        <v/>
      </c>
      <c r="D7" s="36">
        <f>B7+C7</f>
        <v/>
      </c>
      <c r="E7" s="51" t="n">
        <v>0</v>
      </c>
      <c r="F7" s="36">
        <f>IF(A7="","",D7-IFERROR(E7+0,0))</f>
        <v/>
      </c>
      <c r="G7" s="37">
        <f>IF(A7="","-",RANK.EQ(F7,$F$6:$F$25,0))</f>
        <v/>
      </c>
    </row>
    <row r="8">
      <c r="A8" s="50" t="n"/>
      <c r="B8" s="33">
        <f>IFERROR(SUMPRODUCT(LARGE(IF(('MİNİK A KIZLAR'!$D$6:$D$45=A8)*('MİNİK A KIZLAR'!$E$6:$E$45="Takım"),'MİNİK A KIZLAR'!$I$6:$I$45,0),{1,2,3})),0)</f>
        <v/>
      </c>
      <c r="C8" s="33">
        <f>IFERROR(SUMPRODUCT(LARGE(IF(('MİNİK A KIZLAR'!$D$6:$D$45=A8)*('MİNİK A KIZLAR'!$E$6:$E$45="Takım"),'MİNİK A KIZLAR'!$N$6:$N$45,0),{1,2,3})),0)</f>
        <v/>
      </c>
      <c r="D8" s="36">
        <f>B8+C8</f>
        <v/>
      </c>
      <c r="E8" s="51" t="n">
        <v>0</v>
      </c>
      <c r="F8" s="36">
        <f>IF(A8="","",D8-IFERROR(E8+0,0))</f>
        <v/>
      </c>
      <c r="G8" s="37">
        <f>IF(A8="","-",RANK.EQ(F8,$F$6:$F$25,0))</f>
        <v/>
      </c>
    </row>
    <row r="9">
      <c r="A9" s="52" t="n"/>
      <c r="B9" s="53">
        <f>IFERROR(SUMPRODUCT(LARGE(IF(('MİNİK A KIZLAR'!$D$6:$D$45=A9)*('MİNİK A KIZLAR'!$E$6:$E$45="Takım"),'MİNİK A KIZLAR'!$I$6:$I$45,0),{1,2,3})),0)</f>
        <v/>
      </c>
      <c r="C9" s="53">
        <f>IFERROR(SUMPRODUCT(LARGE(IF(('MİNİK A KIZLAR'!$D$6:$D$45=A9)*('MİNİK A KIZLAR'!$E$6:$E$45="Takım"),'MİNİK A KIZLAR'!$N$6:$N$45,0),{1,2,3})),0)</f>
        <v/>
      </c>
      <c r="D9" s="36">
        <f>B9+C9</f>
        <v/>
      </c>
      <c r="E9" s="51" t="n">
        <v>0</v>
      </c>
      <c r="F9" s="36">
        <f>IF(A9="","",D9-IFERROR(E9+0,0))</f>
        <v/>
      </c>
      <c r="G9" s="37">
        <f>IF(A9="","-",RANK.EQ(F9,$F$6:$F$25,0))</f>
        <v/>
      </c>
    </row>
    <row r="10">
      <c r="A10" s="50" t="n"/>
      <c r="B10" s="33">
        <f>IFERROR(SUMPRODUCT(LARGE(IF(('MİNİK A KIZLAR'!$D$6:$D$45=A10)*('MİNİK A KIZLAR'!$E$6:$E$45="Takım"),'MİNİK A KIZLAR'!$I$6:$I$45,0),{1,2,3})),0)</f>
        <v/>
      </c>
      <c r="C10" s="33">
        <f>IFERROR(SUMPRODUCT(LARGE(IF(('MİNİK A KIZLAR'!$D$6:$D$45=A10)*('MİNİK A KIZLAR'!$E$6:$E$45="Takım"),'MİNİK A KIZLAR'!$N$6:$N$45,0),{1,2,3})),0)</f>
        <v/>
      </c>
      <c r="D10" s="36">
        <f>B10+C10</f>
        <v/>
      </c>
      <c r="E10" s="51" t="n">
        <v>0</v>
      </c>
      <c r="F10" s="36">
        <f>IF(A10="","",D10-IFERROR(E10+0,0))</f>
        <v/>
      </c>
      <c r="G10" s="37">
        <f>IF(A10="","-",RANK.EQ(F10,$F$6:$F$25,0))</f>
        <v/>
      </c>
    </row>
    <row r="11">
      <c r="A11" s="52" t="n"/>
      <c r="B11" s="53">
        <f>IFERROR(SUMPRODUCT(LARGE(IF(('MİNİK A KIZLAR'!$D$6:$D$45=A11)*('MİNİK A KIZLAR'!$E$6:$E$45="Takım"),'MİNİK A KIZLAR'!$I$6:$I$45,0),{1,2,3})),0)</f>
        <v/>
      </c>
      <c r="C11" s="53">
        <f>IFERROR(SUMPRODUCT(LARGE(IF(('MİNİK A KIZLAR'!$D$6:$D$45=A11)*('MİNİK A KIZLAR'!$E$6:$E$45="Takım"),'MİNİK A KIZLAR'!$N$6:$N$45,0),{1,2,3})),0)</f>
        <v/>
      </c>
      <c r="D11" s="36">
        <f>B11+C11</f>
        <v/>
      </c>
      <c r="E11" s="51" t="n">
        <v>0</v>
      </c>
      <c r="F11" s="36">
        <f>IF(A11="","",D11-IFERROR(E11+0,0))</f>
        <v/>
      </c>
      <c r="G11" s="37">
        <f>IF(A11="","-",RANK.EQ(F11,$F$6:$F$25,0))</f>
        <v/>
      </c>
    </row>
    <row r="12">
      <c r="A12" s="50" t="n"/>
      <c r="B12" s="33">
        <f>IFERROR(SUMPRODUCT(LARGE(IF(('MİNİK A KIZLAR'!$D$6:$D$45=A12)*('MİNİK A KIZLAR'!$E$6:$E$45="Takım"),'MİNİK A KIZLAR'!$I$6:$I$45,0),{1,2,3})),0)</f>
        <v/>
      </c>
      <c r="C12" s="33">
        <f>IFERROR(SUMPRODUCT(LARGE(IF(('MİNİK A KIZLAR'!$D$6:$D$45=A12)*('MİNİK A KIZLAR'!$E$6:$E$45="Takım"),'MİNİK A KIZLAR'!$N$6:$N$45,0),{1,2,3})),0)</f>
        <v/>
      </c>
      <c r="D12" s="36">
        <f>B12+C12</f>
        <v/>
      </c>
      <c r="E12" s="51" t="n">
        <v>0</v>
      </c>
      <c r="F12" s="36">
        <f>IF(A12="","",D12-IFERROR(E12+0,0))</f>
        <v/>
      </c>
      <c r="G12" s="37">
        <f>IF(A12="","-",RANK.EQ(F12,$F$6:$F$25,0))</f>
        <v/>
      </c>
    </row>
    <row r="13">
      <c r="A13" s="52" t="n"/>
      <c r="B13" s="53">
        <f>IFERROR(SUMPRODUCT(LARGE(IF(('MİNİK A KIZLAR'!$D$6:$D$45=A13)*('MİNİK A KIZLAR'!$E$6:$E$45="Takım"),'MİNİK A KIZLAR'!$I$6:$I$45,0),{1,2,3})),0)</f>
        <v/>
      </c>
      <c r="C13" s="53">
        <f>IFERROR(SUMPRODUCT(LARGE(IF(('MİNİK A KIZLAR'!$D$6:$D$45=A13)*('MİNİK A KIZLAR'!$E$6:$E$45="Takım"),'MİNİK A KIZLAR'!$N$6:$N$45,0),{1,2,3})),0)</f>
        <v/>
      </c>
      <c r="D13" s="36">
        <f>B13+C13</f>
        <v/>
      </c>
      <c r="E13" s="51" t="n">
        <v>0</v>
      </c>
      <c r="F13" s="36">
        <f>IF(A13="","",D13-IFERROR(E13+0,0))</f>
        <v/>
      </c>
      <c r="G13" s="37">
        <f>IF(A13="","-",RANK.EQ(F13,$F$6:$F$25,0))</f>
        <v/>
      </c>
    </row>
    <row r="14">
      <c r="A14" s="50" t="n"/>
      <c r="B14" s="33">
        <f>IFERROR(SUMPRODUCT(LARGE(IF(('MİNİK A KIZLAR'!$D$6:$D$45=A14)*('MİNİK A KIZLAR'!$E$6:$E$45="Takım"),'MİNİK A KIZLAR'!$I$6:$I$45,0),{1,2,3})),0)</f>
        <v/>
      </c>
      <c r="C14" s="33">
        <f>IFERROR(SUMPRODUCT(LARGE(IF(('MİNİK A KIZLAR'!$D$6:$D$45=A14)*('MİNİK A KIZLAR'!$E$6:$E$45="Takım"),'MİNİK A KIZLAR'!$N$6:$N$45,0),{1,2,3})),0)</f>
        <v/>
      </c>
      <c r="D14" s="36">
        <f>B14+C14</f>
        <v/>
      </c>
      <c r="E14" s="51" t="n">
        <v>0</v>
      </c>
      <c r="F14" s="36">
        <f>IF(A14="","",D14-IFERROR(E14+0,0))</f>
        <v/>
      </c>
      <c r="G14" s="37">
        <f>IF(A14="","-",RANK.EQ(F14,$F$6:$F$25,0))</f>
        <v/>
      </c>
    </row>
    <row r="15">
      <c r="A15" s="52" t="n"/>
      <c r="B15" s="53">
        <f>IFERROR(SUMPRODUCT(LARGE(IF(('MİNİK A KIZLAR'!$D$6:$D$45=A15)*('MİNİK A KIZLAR'!$E$6:$E$45="Takım"),'MİNİK A KIZLAR'!$I$6:$I$45,0),{1,2,3})),0)</f>
        <v/>
      </c>
      <c r="C15" s="53">
        <f>IFERROR(SUMPRODUCT(LARGE(IF(('MİNİK A KIZLAR'!$D$6:$D$45=A15)*('MİNİK A KIZLAR'!$E$6:$E$45="Takım"),'MİNİK A KIZLAR'!$N$6:$N$45,0),{1,2,3})),0)</f>
        <v/>
      </c>
      <c r="D15" s="36">
        <f>B15+C15</f>
        <v/>
      </c>
      <c r="E15" s="51" t="n">
        <v>0</v>
      </c>
      <c r="F15" s="36">
        <f>IF(A15="","",D15-IFERROR(E15+0,0))</f>
        <v/>
      </c>
      <c r="G15" s="37">
        <f>IF(A15="","-",RANK.EQ(F15,$F$6:$F$25,0))</f>
        <v/>
      </c>
    </row>
    <row r="16">
      <c r="A16" s="50" t="n"/>
      <c r="B16" s="33">
        <f>IFERROR(SUMPRODUCT(LARGE(IF(('MİNİK A KIZLAR'!$D$6:$D$45=A16)*('MİNİK A KIZLAR'!$E$6:$E$45="Takım"),'MİNİK A KIZLAR'!$I$6:$I$45,0),{1,2,3})),0)</f>
        <v/>
      </c>
      <c r="C16" s="33">
        <f>IFERROR(SUMPRODUCT(LARGE(IF(('MİNİK A KIZLAR'!$D$6:$D$45=A16)*('MİNİK A KIZLAR'!$E$6:$E$45="Takım"),'MİNİK A KIZLAR'!$N$6:$N$45,0),{1,2,3})),0)</f>
        <v/>
      </c>
      <c r="D16" s="36">
        <f>B16+C16</f>
        <v/>
      </c>
      <c r="E16" s="51" t="n">
        <v>0</v>
      </c>
      <c r="F16" s="36">
        <f>IF(A16="","",D16-IFERROR(E16+0,0))</f>
        <v/>
      </c>
      <c r="G16" s="37">
        <f>IF(A16="","-",RANK.EQ(F16,$F$6:$F$25,0))</f>
        <v/>
      </c>
    </row>
    <row r="17">
      <c r="A17" s="52" t="n"/>
      <c r="B17" s="53">
        <f>IFERROR(SUMPRODUCT(LARGE(IF(('MİNİK A KIZLAR'!$D$6:$D$45=A17)*('MİNİK A KIZLAR'!$E$6:$E$45="Takım"),'MİNİK A KIZLAR'!$I$6:$I$45,0),{1,2,3})),0)</f>
        <v/>
      </c>
      <c r="C17" s="53">
        <f>IFERROR(SUMPRODUCT(LARGE(IF(('MİNİK A KIZLAR'!$D$6:$D$45=A17)*('MİNİK A KIZLAR'!$E$6:$E$45="Takım"),'MİNİK A KIZLAR'!$N$6:$N$45,0),{1,2,3})),0)</f>
        <v/>
      </c>
      <c r="D17" s="36">
        <f>B17+C17</f>
        <v/>
      </c>
      <c r="E17" s="51" t="n">
        <v>0</v>
      </c>
      <c r="F17" s="36">
        <f>IF(A17="","",D17-IFERROR(E17+0,0))</f>
        <v/>
      </c>
      <c r="G17" s="37">
        <f>IF(A17="","-",RANK.EQ(F17,$F$6:$F$25,0))</f>
        <v/>
      </c>
    </row>
    <row r="18">
      <c r="A18" s="50" t="n"/>
      <c r="B18" s="33">
        <f>IFERROR(SUMPRODUCT(LARGE(IF(('MİNİK A KIZLAR'!$D$6:$D$45=A18)*('MİNİK A KIZLAR'!$E$6:$E$45="Takım"),'MİNİK A KIZLAR'!$I$6:$I$45,0),{1,2,3})),0)</f>
        <v/>
      </c>
      <c r="C18" s="33">
        <f>IFERROR(SUMPRODUCT(LARGE(IF(('MİNİK A KIZLAR'!$D$6:$D$45=A18)*('MİNİK A KIZLAR'!$E$6:$E$45="Takım"),'MİNİK A KIZLAR'!$N$6:$N$45,0),{1,2,3})),0)</f>
        <v/>
      </c>
      <c r="D18" s="36">
        <f>B18+C18</f>
        <v/>
      </c>
      <c r="E18" s="51" t="n">
        <v>0</v>
      </c>
      <c r="F18" s="36">
        <f>IF(A18="","",D18-IFERROR(E18+0,0))</f>
        <v/>
      </c>
      <c r="G18" s="37">
        <f>IF(A18="","-",RANK.EQ(F18,$F$6:$F$25,0))</f>
        <v/>
      </c>
    </row>
    <row r="19">
      <c r="A19" s="52" t="n"/>
      <c r="B19" s="53">
        <f>IFERROR(SUMPRODUCT(LARGE(IF(('MİNİK A KIZLAR'!$D$6:$D$45=A19)*('MİNİK A KIZLAR'!$E$6:$E$45="Takım"),'MİNİK A KIZLAR'!$I$6:$I$45,0),{1,2,3})),0)</f>
        <v/>
      </c>
      <c r="C19" s="53">
        <f>IFERROR(SUMPRODUCT(LARGE(IF(('MİNİK A KIZLAR'!$D$6:$D$45=A19)*('MİNİK A KIZLAR'!$E$6:$E$45="Takım"),'MİNİK A KIZLAR'!$N$6:$N$45,0),{1,2,3})),0)</f>
        <v/>
      </c>
      <c r="D19" s="36">
        <f>B19+C19</f>
        <v/>
      </c>
      <c r="E19" s="51" t="n">
        <v>0</v>
      </c>
      <c r="F19" s="36">
        <f>IF(A19="","",D19-IFERROR(E19+0,0))</f>
        <v/>
      </c>
      <c r="G19" s="37">
        <f>IF(A19="","-",RANK.EQ(F19,$F$6:$F$25,0))</f>
        <v/>
      </c>
    </row>
    <row r="20">
      <c r="A20" s="50" t="n"/>
      <c r="B20" s="33">
        <f>IFERROR(SUMPRODUCT(LARGE(IF(('MİNİK A KIZLAR'!$D$6:$D$45=A20)*('MİNİK A KIZLAR'!$E$6:$E$45="Takım"),'MİNİK A KIZLAR'!$I$6:$I$45,0),{1,2,3})),0)</f>
        <v/>
      </c>
      <c r="C20" s="33">
        <f>IFERROR(SUMPRODUCT(LARGE(IF(('MİNİK A KIZLAR'!$D$6:$D$45=A20)*('MİNİK A KIZLAR'!$E$6:$E$45="Takım"),'MİNİK A KIZLAR'!$N$6:$N$45,0),{1,2,3})),0)</f>
        <v/>
      </c>
      <c r="D20" s="36">
        <f>B20+C20</f>
        <v/>
      </c>
      <c r="E20" s="51" t="n">
        <v>0</v>
      </c>
      <c r="F20" s="36">
        <f>IF(A20="","",D20-IFERROR(E20+0,0))</f>
        <v/>
      </c>
      <c r="G20" s="37">
        <f>IF(A20="","-",RANK.EQ(F20,$F$6:$F$25,0))</f>
        <v/>
      </c>
    </row>
    <row r="21">
      <c r="A21" s="52" t="n"/>
      <c r="B21" s="53">
        <f>IFERROR(SUMPRODUCT(LARGE(IF(('MİNİK A KIZLAR'!$D$6:$D$45=A21)*('MİNİK A KIZLAR'!$E$6:$E$45="Takım"),'MİNİK A KIZLAR'!$I$6:$I$45,0),{1,2,3})),0)</f>
        <v/>
      </c>
      <c r="C21" s="53">
        <f>IFERROR(SUMPRODUCT(LARGE(IF(('MİNİK A KIZLAR'!$D$6:$D$45=A21)*('MİNİK A KIZLAR'!$E$6:$E$45="Takım"),'MİNİK A KIZLAR'!$N$6:$N$45,0),{1,2,3})),0)</f>
        <v/>
      </c>
      <c r="D21" s="36">
        <f>B21+C21</f>
        <v/>
      </c>
      <c r="E21" s="51" t="n">
        <v>0</v>
      </c>
      <c r="F21" s="36">
        <f>IF(A21="","",D21-IFERROR(E21+0,0))</f>
        <v/>
      </c>
      <c r="G21" s="37">
        <f>IF(A21="","-",RANK.EQ(F21,$F$6:$F$25,0))</f>
        <v/>
      </c>
    </row>
    <row r="22">
      <c r="A22" s="50" t="n"/>
      <c r="B22" s="33">
        <f>IFERROR(SUMPRODUCT(LARGE(IF(('MİNİK A KIZLAR'!$D$6:$D$45=A22)*('MİNİK A KIZLAR'!$E$6:$E$45="Takım"),'MİNİK A KIZLAR'!$I$6:$I$45,0),{1,2,3})),0)</f>
        <v/>
      </c>
      <c r="C22" s="33">
        <f>IFERROR(SUMPRODUCT(LARGE(IF(('MİNİK A KIZLAR'!$D$6:$D$45=A22)*('MİNİK A KIZLAR'!$E$6:$E$45="Takım"),'MİNİK A KIZLAR'!$N$6:$N$45,0),{1,2,3})),0)</f>
        <v/>
      </c>
      <c r="D22" s="36">
        <f>B22+C22</f>
        <v/>
      </c>
      <c r="E22" s="51" t="n">
        <v>0</v>
      </c>
      <c r="F22" s="36">
        <f>IF(A22="","",D22-IFERROR(E22+0,0))</f>
        <v/>
      </c>
      <c r="G22" s="37">
        <f>IF(A22="","-",RANK.EQ(F22,$F$6:$F$25,0))</f>
        <v/>
      </c>
    </row>
    <row r="23">
      <c r="A23" s="52" t="n"/>
      <c r="B23" s="53">
        <f>IFERROR(SUMPRODUCT(LARGE(IF(('MİNİK A KIZLAR'!$D$6:$D$45=A23)*('MİNİK A KIZLAR'!$E$6:$E$45="Takım"),'MİNİK A KIZLAR'!$I$6:$I$45,0),{1,2,3})),0)</f>
        <v/>
      </c>
      <c r="C23" s="53">
        <f>IFERROR(SUMPRODUCT(LARGE(IF(('MİNİK A KIZLAR'!$D$6:$D$45=A23)*('MİNİK A KIZLAR'!$E$6:$E$45="Takım"),'MİNİK A KIZLAR'!$N$6:$N$45,0),{1,2,3})),0)</f>
        <v/>
      </c>
      <c r="D23" s="36">
        <f>B23+C23</f>
        <v/>
      </c>
      <c r="E23" s="51" t="n">
        <v>0</v>
      </c>
      <c r="F23" s="36">
        <f>IF(A23="","",D23-IFERROR(E23+0,0))</f>
        <v/>
      </c>
      <c r="G23" s="37">
        <f>IF(A23="","-",RANK.EQ(F23,$F$6:$F$25,0))</f>
        <v/>
      </c>
    </row>
    <row r="24">
      <c r="A24" s="50" t="n"/>
      <c r="B24" s="33">
        <f>IFERROR(SUMPRODUCT(LARGE(IF(('MİNİK A KIZLAR'!$D$6:$D$45=A24)*('MİNİK A KIZLAR'!$E$6:$E$45="Takım"),'MİNİK A KIZLAR'!$I$6:$I$45,0),{1,2,3})),0)</f>
        <v/>
      </c>
      <c r="C24" s="33">
        <f>IFERROR(SUMPRODUCT(LARGE(IF(('MİNİK A KIZLAR'!$D$6:$D$45=A24)*('MİNİK A KIZLAR'!$E$6:$E$45="Takım"),'MİNİK A KIZLAR'!$N$6:$N$45,0),{1,2,3})),0)</f>
        <v/>
      </c>
      <c r="D24" s="36">
        <f>B24+C24</f>
        <v/>
      </c>
      <c r="E24" s="51" t="n">
        <v>0</v>
      </c>
      <c r="F24" s="36">
        <f>IF(A24="","",D24-IFERROR(E24+0,0))</f>
        <v/>
      </c>
      <c r="G24" s="37">
        <f>IF(A24="","-",RANK.EQ(F24,$F$6:$F$25,0))</f>
        <v/>
      </c>
    </row>
    <row r="25">
      <c r="A25" s="52" t="n"/>
      <c r="B25" s="53">
        <f>IFERROR(SUMPRODUCT(LARGE(IF(('MİNİK A KIZLAR'!$D$6:$D$45=A25)*('MİNİK A KIZLAR'!$E$6:$E$45="Takım"),'MİNİK A KIZLAR'!$I$6:$I$45,0),{1,2,3})),0)</f>
        <v/>
      </c>
      <c r="C25" s="53">
        <f>IFERROR(SUMPRODUCT(LARGE(IF(('MİNİK A KIZLAR'!$D$6:$D$45=A25)*('MİNİK A KIZLAR'!$E$6:$E$45="Takım"),'MİNİK A KIZLAR'!$N$6:$N$45,0),{1,2,3})),0)</f>
        <v/>
      </c>
      <c r="D25" s="36">
        <f>B25+C25</f>
        <v/>
      </c>
      <c r="E25" s="51" t="n">
        <v>0</v>
      </c>
      <c r="F25" s="36">
        <f>IF(A25="","",D25-IFERROR(E25+0,0))</f>
        <v/>
      </c>
      <c r="G25" s="37">
        <f>IF(A25="","-",RANK.EQ(F25,$F$6:$F$25,0))</f>
        <v/>
      </c>
    </row>
    <row r="28" ht="24" customHeight="1">
      <c r="A28" s="54" t="inlineStr">
        <is>
          <t>MİNİK A ERKEKLER  —  TAKIM SIRALAMASI</t>
        </is>
      </c>
    </row>
    <row r="29" ht="22" customHeight="1">
      <c r="A29" s="27" t="inlineStr">
        <is>
          <t>TAKIM ADI</t>
        </is>
      </c>
      <c r="B29" s="27" t="inlineStr">
        <is>
          <t>En İyi 3
FX</t>
        </is>
      </c>
      <c r="C29" s="27" t="inlineStr">
        <is>
          <t>En İyi 3
VT</t>
        </is>
      </c>
      <c r="D29" s="27" t="inlineStr">
        <is>
          <t>TOPLAM</t>
        </is>
      </c>
      <c r="E29" s="27" t="inlineStr">
        <is>
          <t>KESİNTİ</t>
        </is>
      </c>
      <c r="F29" s="27" t="inlineStr">
        <is>
          <t>FİNAL PUAN</t>
        </is>
      </c>
      <c r="G29" s="27" t="inlineStr">
        <is>
          <t>SIRALAMA</t>
        </is>
      </c>
    </row>
    <row r="30">
      <c r="A30" s="50" t="n"/>
      <c r="B30" s="33">
        <f>IFERROR(SUMPRODUCT(LARGE(IF(('MİNİK A ERKEKLER'!$D$6:$D$45=A30)*('MİNİK A ERKEKLER'!$E$6:$E$45="Takım"),'MİNİK A ERKEKLER'!$I$6:$I$45,0),{1,2,3})),0)</f>
        <v/>
      </c>
      <c r="C30" s="33">
        <f>IFERROR(SUMPRODUCT(LARGE(IF(('MİNİK A ERKEKLER'!$D$6:$D$45=A30)*('MİNİK A ERKEKLER'!$E$6:$E$45="Takım"),'MİNİK A ERKEKLER'!$N$6:$N$45,0),{1,2,3})),0)</f>
        <v/>
      </c>
      <c r="D30" s="36">
        <f>B30+C30</f>
        <v/>
      </c>
      <c r="E30" s="51" t="n">
        <v>0</v>
      </c>
      <c r="F30" s="36">
        <f>IF(A30="","",D30-IFERROR(E30+0,0))</f>
        <v/>
      </c>
      <c r="G30" s="37">
        <f>IF(A30="","-",RANK.EQ(F30,$F$30:$F$49,0))</f>
        <v/>
      </c>
    </row>
    <row r="31">
      <c r="A31" s="52" t="n"/>
      <c r="B31" s="53">
        <f>IFERROR(SUMPRODUCT(LARGE(IF(('MİNİK A ERKEKLER'!$D$6:$D$45=A31)*('MİNİK A ERKEKLER'!$E$6:$E$45="Takım"),'MİNİK A ERKEKLER'!$I$6:$I$45,0),{1,2,3})),0)</f>
        <v/>
      </c>
      <c r="C31" s="53">
        <f>IFERROR(SUMPRODUCT(LARGE(IF(('MİNİK A ERKEKLER'!$D$6:$D$45=A31)*('MİNİK A ERKEKLER'!$E$6:$E$45="Takım"),'MİNİK A ERKEKLER'!$N$6:$N$45,0),{1,2,3})),0)</f>
        <v/>
      </c>
      <c r="D31" s="36">
        <f>B31+C31</f>
        <v/>
      </c>
      <c r="E31" s="51" t="n">
        <v>0</v>
      </c>
      <c r="F31" s="36">
        <f>IF(A31="","",D31-IFERROR(E31+0,0))</f>
        <v/>
      </c>
      <c r="G31" s="37">
        <f>IF(A31="","-",RANK.EQ(F31,$F$30:$F$49,0))</f>
        <v/>
      </c>
    </row>
    <row r="32">
      <c r="A32" s="50" t="n"/>
      <c r="B32" s="33">
        <f>IFERROR(SUMPRODUCT(LARGE(IF(('MİNİK A ERKEKLER'!$D$6:$D$45=A32)*('MİNİK A ERKEKLER'!$E$6:$E$45="Takım"),'MİNİK A ERKEKLER'!$I$6:$I$45,0),{1,2,3})),0)</f>
        <v/>
      </c>
      <c r="C32" s="33">
        <f>IFERROR(SUMPRODUCT(LARGE(IF(('MİNİK A ERKEKLER'!$D$6:$D$45=A32)*('MİNİK A ERKEKLER'!$E$6:$E$45="Takım"),'MİNİK A ERKEKLER'!$N$6:$N$45,0),{1,2,3})),0)</f>
        <v/>
      </c>
      <c r="D32" s="36">
        <f>B32+C32</f>
        <v/>
      </c>
      <c r="E32" s="51" t="n">
        <v>0</v>
      </c>
      <c r="F32" s="36">
        <f>IF(A32="","",D32-IFERROR(E32+0,0))</f>
        <v/>
      </c>
      <c r="G32" s="37">
        <f>IF(A32="","-",RANK.EQ(F32,$F$30:$F$49,0))</f>
        <v/>
      </c>
    </row>
    <row r="33">
      <c r="A33" s="52" t="n"/>
      <c r="B33" s="53">
        <f>IFERROR(SUMPRODUCT(LARGE(IF(('MİNİK A ERKEKLER'!$D$6:$D$45=A33)*('MİNİK A ERKEKLER'!$E$6:$E$45="Takım"),'MİNİK A ERKEKLER'!$I$6:$I$45,0),{1,2,3})),0)</f>
        <v/>
      </c>
      <c r="C33" s="53">
        <f>IFERROR(SUMPRODUCT(LARGE(IF(('MİNİK A ERKEKLER'!$D$6:$D$45=A33)*('MİNİK A ERKEKLER'!$E$6:$E$45="Takım"),'MİNİK A ERKEKLER'!$N$6:$N$45,0),{1,2,3})),0)</f>
        <v/>
      </c>
      <c r="D33" s="36">
        <f>B33+C33</f>
        <v/>
      </c>
      <c r="E33" s="51" t="n">
        <v>0</v>
      </c>
      <c r="F33" s="36">
        <f>IF(A33="","",D33-IFERROR(E33+0,0))</f>
        <v/>
      </c>
      <c r="G33" s="37">
        <f>IF(A33="","-",RANK.EQ(F33,$F$30:$F$49,0))</f>
        <v/>
      </c>
    </row>
    <row r="34">
      <c r="A34" s="50" t="n"/>
      <c r="B34" s="33">
        <f>IFERROR(SUMPRODUCT(LARGE(IF(('MİNİK A ERKEKLER'!$D$6:$D$45=A34)*('MİNİK A ERKEKLER'!$E$6:$E$45="Takım"),'MİNİK A ERKEKLER'!$I$6:$I$45,0),{1,2,3})),0)</f>
        <v/>
      </c>
      <c r="C34" s="33">
        <f>IFERROR(SUMPRODUCT(LARGE(IF(('MİNİK A ERKEKLER'!$D$6:$D$45=A34)*('MİNİK A ERKEKLER'!$E$6:$E$45="Takım"),'MİNİK A ERKEKLER'!$N$6:$N$45,0),{1,2,3})),0)</f>
        <v/>
      </c>
      <c r="D34" s="36">
        <f>B34+C34</f>
        <v/>
      </c>
      <c r="E34" s="51" t="n">
        <v>0</v>
      </c>
      <c r="F34" s="36">
        <f>IF(A34="","",D34-IFERROR(E34+0,0))</f>
        <v/>
      </c>
      <c r="G34" s="37">
        <f>IF(A34="","-",RANK.EQ(F34,$F$30:$F$49,0))</f>
        <v/>
      </c>
    </row>
    <row r="35">
      <c r="A35" s="52" t="n"/>
      <c r="B35" s="53">
        <f>IFERROR(SUMPRODUCT(LARGE(IF(('MİNİK A ERKEKLER'!$D$6:$D$45=A35)*('MİNİK A ERKEKLER'!$E$6:$E$45="Takım"),'MİNİK A ERKEKLER'!$I$6:$I$45,0),{1,2,3})),0)</f>
        <v/>
      </c>
      <c r="C35" s="53">
        <f>IFERROR(SUMPRODUCT(LARGE(IF(('MİNİK A ERKEKLER'!$D$6:$D$45=A35)*('MİNİK A ERKEKLER'!$E$6:$E$45="Takım"),'MİNİK A ERKEKLER'!$N$6:$N$45,0),{1,2,3})),0)</f>
        <v/>
      </c>
      <c r="D35" s="36">
        <f>B35+C35</f>
        <v/>
      </c>
      <c r="E35" s="51" t="n">
        <v>0</v>
      </c>
      <c r="F35" s="36">
        <f>IF(A35="","",D35-IFERROR(E35+0,0))</f>
        <v/>
      </c>
      <c r="G35" s="37">
        <f>IF(A35="","-",RANK.EQ(F35,$F$30:$F$49,0))</f>
        <v/>
      </c>
    </row>
    <row r="36">
      <c r="A36" s="50" t="n"/>
      <c r="B36" s="33">
        <f>IFERROR(SUMPRODUCT(LARGE(IF(('MİNİK A ERKEKLER'!$D$6:$D$45=A36)*('MİNİK A ERKEKLER'!$E$6:$E$45="Takım"),'MİNİK A ERKEKLER'!$I$6:$I$45,0),{1,2,3})),0)</f>
        <v/>
      </c>
      <c r="C36" s="33">
        <f>IFERROR(SUMPRODUCT(LARGE(IF(('MİNİK A ERKEKLER'!$D$6:$D$45=A36)*('MİNİK A ERKEKLER'!$E$6:$E$45="Takım"),'MİNİK A ERKEKLER'!$N$6:$N$45,0),{1,2,3})),0)</f>
        <v/>
      </c>
      <c r="D36" s="36">
        <f>B36+C36</f>
        <v/>
      </c>
      <c r="E36" s="51" t="n">
        <v>0</v>
      </c>
      <c r="F36" s="36">
        <f>IF(A36="","",D36-IFERROR(E36+0,0))</f>
        <v/>
      </c>
      <c r="G36" s="37">
        <f>IF(A36="","-",RANK.EQ(F36,$F$30:$F$49,0))</f>
        <v/>
      </c>
    </row>
    <row r="37">
      <c r="A37" s="52" t="n"/>
      <c r="B37" s="53">
        <f>IFERROR(SUMPRODUCT(LARGE(IF(('MİNİK A ERKEKLER'!$D$6:$D$45=A37)*('MİNİK A ERKEKLER'!$E$6:$E$45="Takım"),'MİNİK A ERKEKLER'!$I$6:$I$45,0),{1,2,3})),0)</f>
        <v/>
      </c>
      <c r="C37" s="53">
        <f>IFERROR(SUMPRODUCT(LARGE(IF(('MİNİK A ERKEKLER'!$D$6:$D$45=A37)*('MİNİK A ERKEKLER'!$E$6:$E$45="Takım"),'MİNİK A ERKEKLER'!$N$6:$N$45,0),{1,2,3})),0)</f>
        <v/>
      </c>
      <c r="D37" s="36">
        <f>B37+C37</f>
        <v/>
      </c>
      <c r="E37" s="51" t="n">
        <v>0</v>
      </c>
      <c r="F37" s="36">
        <f>IF(A37="","",D37-IFERROR(E37+0,0))</f>
        <v/>
      </c>
      <c r="G37" s="37">
        <f>IF(A37="","-",RANK.EQ(F37,$F$30:$F$49,0))</f>
        <v/>
      </c>
    </row>
    <row r="38">
      <c r="A38" s="50" t="n"/>
      <c r="B38" s="33">
        <f>IFERROR(SUMPRODUCT(LARGE(IF(('MİNİK A ERKEKLER'!$D$6:$D$45=A38)*('MİNİK A ERKEKLER'!$E$6:$E$45="Takım"),'MİNİK A ERKEKLER'!$I$6:$I$45,0),{1,2,3})),0)</f>
        <v/>
      </c>
      <c r="C38" s="33">
        <f>IFERROR(SUMPRODUCT(LARGE(IF(('MİNİK A ERKEKLER'!$D$6:$D$45=A38)*('MİNİK A ERKEKLER'!$E$6:$E$45="Takım"),'MİNİK A ERKEKLER'!$N$6:$N$45,0),{1,2,3})),0)</f>
        <v/>
      </c>
      <c r="D38" s="36">
        <f>B38+C38</f>
        <v/>
      </c>
      <c r="E38" s="51" t="n">
        <v>0</v>
      </c>
      <c r="F38" s="36">
        <f>IF(A38="","",D38-IFERROR(E38+0,0))</f>
        <v/>
      </c>
      <c r="G38" s="37">
        <f>IF(A38="","-",RANK.EQ(F38,$F$30:$F$49,0))</f>
        <v/>
      </c>
    </row>
    <row r="39">
      <c r="A39" s="52" t="n"/>
      <c r="B39" s="53">
        <f>IFERROR(SUMPRODUCT(LARGE(IF(('MİNİK A ERKEKLER'!$D$6:$D$45=A39)*('MİNİK A ERKEKLER'!$E$6:$E$45="Takım"),'MİNİK A ERKEKLER'!$I$6:$I$45,0),{1,2,3})),0)</f>
        <v/>
      </c>
      <c r="C39" s="53">
        <f>IFERROR(SUMPRODUCT(LARGE(IF(('MİNİK A ERKEKLER'!$D$6:$D$45=A39)*('MİNİK A ERKEKLER'!$E$6:$E$45="Takım"),'MİNİK A ERKEKLER'!$N$6:$N$45,0),{1,2,3})),0)</f>
        <v/>
      </c>
      <c r="D39" s="36">
        <f>B39+C39</f>
        <v/>
      </c>
      <c r="E39" s="51" t="n">
        <v>0</v>
      </c>
      <c r="F39" s="36">
        <f>IF(A39="","",D39-IFERROR(E39+0,0))</f>
        <v/>
      </c>
      <c r="G39" s="37">
        <f>IF(A39="","-",RANK.EQ(F39,$F$30:$F$49,0))</f>
        <v/>
      </c>
    </row>
    <row r="40">
      <c r="A40" s="50" t="n"/>
      <c r="B40" s="33">
        <f>IFERROR(SUMPRODUCT(LARGE(IF(('MİNİK A ERKEKLER'!$D$6:$D$45=A40)*('MİNİK A ERKEKLER'!$E$6:$E$45="Takım"),'MİNİK A ERKEKLER'!$I$6:$I$45,0),{1,2,3})),0)</f>
        <v/>
      </c>
      <c r="C40" s="33">
        <f>IFERROR(SUMPRODUCT(LARGE(IF(('MİNİK A ERKEKLER'!$D$6:$D$45=A40)*('MİNİK A ERKEKLER'!$E$6:$E$45="Takım"),'MİNİK A ERKEKLER'!$N$6:$N$45,0),{1,2,3})),0)</f>
        <v/>
      </c>
      <c r="D40" s="36">
        <f>B40+C40</f>
        <v/>
      </c>
      <c r="E40" s="51" t="n">
        <v>0</v>
      </c>
      <c r="F40" s="36">
        <f>IF(A40="","",D40-IFERROR(E40+0,0))</f>
        <v/>
      </c>
      <c r="G40" s="37">
        <f>IF(A40="","-",RANK.EQ(F40,$F$30:$F$49,0))</f>
        <v/>
      </c>
    </row>
    <row r="41">
      <c r="A41" s="52" t="n"/>
      <c r="B41" s="53">
        <f>IFERROR(SUMPRODUCT(LARGE(IF(('MİNİK A ERKEKLER'!$D$6:$D$45=A41)*('MİNİK A ERKEKLER'!$E$6:$E$45="Takım"),'MİNİK A ERKEKLER'!$I$6:$I$45,0),{1,2,3})),0)</f>
        <v/>
      </c>
      <c r="C41" s="53">
        <f>IFERROR(SUMPRODUCT(LARGE(IF(('MİNİK A ERKEKLER'!$D$6:$D$45=A41)*('MİNİK A ERKEKLER'!$E$6:$E$45="Takım"),'MİNİK A ERKEKLER'!$N$6:$N$45,0),{1,2,3})),0)</f>
        <v/>
      </c>
      <c r="D41" s="36">
        <f>B41+C41</f>
        <v/>
      </c>
      <c r="E41" s="51" t="n">
        <v>0</v>
      </c>
      <c r="F41" s="36">
        <f>IF(A41="","",D41-IFERROR(E41+0,0))</f>
        <v/>
      </c>
      <c r="G41" s="37">
        <f>IF(A41="","-",RANK.EQ(F41,$F$30:$F$49,0))</f>
        <v/>
      </c>
    </row>
    <row r="42">
      <c r="A42" s="50" t="n"/>
      <c r="B42" s="33">
        <f>IFERROR(SUMPRODUCT(LARGE(IF(('MİNİK A ERKEKLER'!$D$6:$D$45=A42)*('MİNİK A ERKEKLER'!$E$6:$E$45="Takım"),'MİNİK A ERKEKLER'!$I$6:$I$45,0),{1,2,3})),0)</f>
        <v/>
      </c>
      <c r="C42" s="33">
        <f>IFERROR(SUMPRODUCT(LARGE(IF(('MİNİK A ERKEKLER'!$D$6:$D$45=A42)*('MİNİK A ERKEKLER'!$E$6:$E$45="Takım"),'MİNİK A ERKEKLER'!$N$6:$N$45,0),{1,2,3})),0)</f>
        <v/>
      </c>
      <c r="D42" s="36">
        <f>B42+C42</f>
        <v/>
      </c>
      <c r="E42" s="51" t="n">
        <v>0</v>
      </c>
      <c r="F42" s="36">
        <f>IF(A42="","",D42-IFERROR(E42+0,0))</f>
        <v/>
      </c>
      <c r="G42" s="37">
        <f>IF(A42="","-",RANK.EQ(F42,$F$30:$F$49,0))</f>
        <v/>
      </c>
    </row>
    <row r="43">
      <c r="A43" s="52" t="n"/>
      <c r="B43" s="53">
        <f>IFERROR(SUMPRODUCT(LARGE(IF(('MİNİK A ERKEKLER'!$D$6:$D$45=A43)*('MİNİK A ERKEKLER'!$E$6:$E$45="Takım"),'MİNİK A ERKEKLER'!$I$6:$I$45,0),{1,2,3})),0)</f>
        <v/>
      </c>
      <c r="C43" s="53">
        <f>IFERROR(SUMPRODUCT(LARGE(IF(('MİNİK A ERKEKLER'!$D$6:$D$45=A43)*('MİNİK A ERKEKLER'!$E$6:$E$45="Takım"),'MİNİK A ERKEKLER'!$N$6:$N$45,0),{1,2,3})),0)</f>
        <v/>
      </c>
      <c r="D43" s="36">
        <f>B43+C43</f>
        <v/>
      </c>
      <c r="E43" s="51" t="n">
        <v>0</v>
      </c>
      <c r="F43" s="36">
        <f>IF(A43="","",D43-IFERROR(E43+0,0))</f>
        <v/>
      </c>
      <c r="G43" s="37">
        <f>IF(A43="","-",RANK.EQ(F43,$F$30:$F$49,0))</f>
        <v/>
      </c>
    </row>
    <row r="44">
      <c r="A44" s="50" t="n"/>
      <c r="B44" s="33">
        <f>IFERROR(SUMPRODUCT(LARGE(IF(('MİNİK A ERKEKLER'!$D$6:$D$45=A44)*('MİNİK A ERKEKLER'!$E$6:$E$45="Takım"),'MİNİK A ERKEKLER'!$I$6:$I$45,0),{1,2,3})),0)</f>
        <v/>
      </c>
      <c r="C44" s="33">
        <f>IFERROR(SUMPRODUCT(LARGE(IF(('MİNİK A ERKEKLER'!$D$6:$D$45=A44)*('MİNİK A ERKEKLER'!$E$6:$E$45="Takım"),'MİNİK A ERKEKLER'!$N$6:$N$45,0),{1,2,3})),0)</f>
        <v/>
      </c>
      <c r="D44" s="36">
        <f>B44+C44</f>
        <v/>
      </c>
      <c r="E44" s="51" t="n">
        <v>0</v>
      </c>
      <c r="F44" s="36">
        <f>IF(A44="","",D44-IFERROR(E44+0,0))</f>
        <v/>
      </c>
      <c r="G44" s="37">
        <f>IF(A44="","-",RANK.EQ(F44,$F$30:$F$49,0))</f>
        <v/>
      </c>
    </row>
    <row r="45">
      <c r="A45" s="52" t="n"/>
      <c r="B45" s="53">
        <f>IFERROR(SUMPRODUCT(LARGE(IF(('MİNİK A ERKEKLER'!$D$6:$D$45=A45)*('MİNİK A ERKEKLER'!$E$6:$E$45="Takım"),'MİNİK A ERKEKLER'!$I$6:$I$45,0),{1,2,3})),0)</f>
        <v/>
      </c>
      <c r="C45" s="53">
        <f>IFERROR(SUMPRODUCT(LARGE(IF(('MİNİK A ERKEKLER'!$D$6:$D$45=A45)*('MİNİK A ERKEKLER'!$E$6:$E$45="Takım"),'MİNİK A ERKEKLER'!$N$6:$N$45,0),{1,2,3})),0)</f>
        <v/>
      </c>
      <c r="D45" s="36">
        <f>B45+C45</f>
        <v/>
      </c>
      <c r="E45" s="51" t="n">
        <v>0</v>
      </c>
      <c r="F45" s="36">
        <f>IF(A45="","",D45-IFERROR(E45+0,0))</f>
        <v/>
      </c>
      <c r="G45" s="37">
        <f>IF(A45="","-",RANK.EQ(F45,$F$30:$F$49,0))</f>
        <v/>
      </c>
    </row>
    <row r="46">
      <c r="A46" s="50" t="n"/>
      <c r="B46" s="33">
        <f>IFERROR(SUMPRODUCT(LARGE(IF(('MİNİK A ERKEKLER'!$D$6:$D$45=A46)*('MİNİK A ERKEKLER'!$E$6:$E$45="Takım"),'MİNİK A ERKEKLER'!$I$6:$I$45,0),{1,2,3})),0)</f>
        <v/>
      </c>
      <c r="C46" s="33">
        <f>IFERROR(SUMPRODUCT(LARGE(IF(('MİNİK A ERKEKLER'!$D$6:$D$45=A46)*('MİNİK A ERKEKLER'!$E$6:$E$45="Takım"),'MİNİK A ERKEKLER'!$N$6:$N$45,0),{1,2,3})),0)</f>
        <v/>
      </c>
      <c r="D46" s="36">
        <f>B46+C46</f>
        <v/>
      </c>
      <c r="E46" s="51" t="n">
        <v>0</v>
      </c>
      <c r="F46" s="36">
        <f>IF(A46="","",D46-IFERROR(E46+0,0))</f>
        <v/>
      </c>
      <c r="G46" s="37">
        <f>IF(A46="","-",RANK.EQ(F46,$F$30:$F$49,0))</f>
        <v/>
      </c>
    </row>
    <row r="47">
      <c r="A47" s="52" t="n"/>
      <c r="B47" s="53">
        <f>IFERROR(SUMPRODUCT(LARGE(IF(('MİNİK A ERKEKLER'!$D$6:$D$45=A47)*('MİNİK A ERKEKLER'!$E$6:$E$45="Takım"),'MİNİK A ERKEKLER'!$I$6:$I$45,0),{1,2,3})),0)</f>
        <v/>
      </c>
      <c r="C47" s="53">
        <f>IFERROR(SUMPRODUCT(LARGE(IF(('MİNİK A ERKEKLER'!$D$6:$D$45=A47)*('MİNİK A ERKEKLER'!$E$6:$E$45="Takım"),'MİNİK A ERKEKLER'!$N$6:$N$45,0),{1,2,3})),0)</f>
        <v/>
      </c>
      <c r="D47" s="36">
        <f>B47+C47</f>
        <v/>
      </c>
      <c r="E47" s="51" t="n">
        <v>0</v>
      </c>
      <c r="F47" s="36">
        <f>IF(A47="","",D47-IFERROR(E47+0,0))</f>
        <v/>
      </c>
      <c r="G47" s="37">
        <f>IF(A47="","-",RANK.EQ(F47,$F$30:$F$49,0))</f>
        <v/>
      </c>
    </row>
    <row r="48">
      <c r="A48" s="50" t="n"/>
      <c r="B48" s="33">
        <f>IFERROR(SUMPRODUCT(LARGE(IF(('MİNİK A ERKEKLER'!$D$6:$D$45=A48)*('MİNİK A ERKEKLER'!$E$6:$E$45="Takım"),'MİNİK A ERKEKLER'!$I$6:$I$45,0),{1,2,3})),0)</f>
        <v/>
      </c>
      <c r="C48" s="33">
        <f>IFERROR(SUMPRODUCT(LARGE(IF(('MİNİK A ERKEKLER'!$D$6:$D$45=A48)*('MİNİK A ERKEKLER'!$E$6:$E$45="Takım"),'MİNİK A ERKEKLER'!$N$6:$N$45,0),{1,2,3})),0)</f>
        <v/>
      </c>
      <c r="D48" s="36">
        <f>B48+C48</f>
        <v/>
      </c>
      <c r="E48" s="51" t="n">
        <v>0</v>
      </c>
      <c r="F48" s="36">
        <f>IF(A48="","",D48-IFERROR(E48+0,0))</f>
        <v/>
      </c>
      <c r="G48" s="37">
        <f>IF(A48="","-",RANK.EQ(F48,$F$30:$F$49,0))</f>
        <v/>
      </c>
    </row>
    <row r="49">
      <c r="A49" s="52" t="n"/>
      <c r="B49" s="53">
        <f>IFERROR(SUMPRODUCT(LARGE(IF(('MİNİK A ERKEKLER'!$D$6:$D$45=A49)*('MİNİK A ERKEKLER'!$E$6:$E$45="Takım"),'MİNİK A ERKEKLER'!$I$6:$I$45,0),{1,2,3})),0)</f>
        <v/>
      </c>
      <c r="C49" s="53">
        <f>IFERROR(SUMPRODUCT(LARGE(IF(('MİNİK A ERKEKLER'!$D$6:$D$45=A49)*('MİNİK A ERKEKLER'!$E$6:$E$45="Takım"),'MİNİK A ERKEKLER'!$N$6:$N$45,0),{1,2,3})),0)</f>
        <v/>
      </c>
      <c r="D49" s="36">
        <f>B49+C49</f>
        <v/>
      </c>
      <c r="E49" s="51" t="n">
        <v>0</v>
      </c>
      <c r="F49" s="36">
        <f>IF(A49="","",D49-IFERROR(E49+0,0))</f>
        <v/>
      </c>
      <c r="G49" s="37">
        <f>IF(A49="","-",RANK.EQ(F49,$F$30:$F$49,0))</f>
        <v/>
      </c>
    </row>
    <row r="52" ht="24" customHeight="1">
      <c r="A52" s="49" t="inlineStr">
        <is>
          <t>MİNİK B KIZLAR  —  TAKIM SIRALAMASI</t>
        </is>
      </c>
    </row>
    <row r="53" ht="22" customHeight="1">
      <c r="A53" s="27" t="inlineStr">
        <is>
          <t>TAKIM ADI</t>
        </is>
      </c>
      <c r="B53" s="27" t="inlineStr">
        <is>
          <t>En İyi 3
VT</t>
        </is>
      </c>
      <c r="C53" s="27" t="inlineStr">
        <is>
          <t>En İyi 3
FX</t>
        </is>
      </c>
      <c r="D53" s="27" t="inlineStr">
        <is>
          <t>TOPLAM</t>
        </is>
      </c>
      <c r="E53" s="27" t="inlineStr">
        <is>
          <t>KESİNTİ</t>
        </is>
      </c>
      <c r="F53" s="27" t="inlineStr">
        <is>
          <t>FİNAL PUAN</t>
        </is>
      </c>
      <c r="G53" s="27" t="inlineStr">
        <is>
          <t>SIRALAMA</t>
        </is>
      </c>
    </row>
    <row r="54">
      <c r="A54" s="50" t="n"/>
      <c r="B54" s="33">
        <f>IFERROR(SUMPRODUCT(LARGE(IF(('MİNİK B KIZLAR'!$D$6:$D$45=A54)*('MİNİK B KIZLAR'!$E$6:$E$45="Takım"),'MİNİK B KIZLAR'!$I$6:$I$45,0),{1,2,3})),0)</f>
        <v/>
      </c>
      <c r="C54" s="33">
        <f>IFERROR(SUMPRODUCT(LARGE(IF(('MİNİK B KIZLAR'!$D$6:$D$45=A54)*('MİNİK B KIZLAR'!$E$6:$E$45="Takım"),'MİNİK B KIZLAR'!$N$6:$N$45,0),{1,2,3})),0)</f>
        <v/>
      </c>
      <c r="D54" s="36">
        <f>B54+C54</f>
        <v/>
      </c>
      <c r="E54" s="51" t="n">
        <v>0</v>
      </c>
      <c r="F54" s="36">
        <f>IF(A54="","",D54-IFERROR(E54+0,0))</f>
        <v/>
      </c>
      <c r="G54" s="37">
        <f>IF(A54="","-",RANK.EQ(F54,$F$54:$F$73,0))</f>
        <v/>
      </c>
    </row>
    <row r="55">
      <c r="A55" s="52" t="n"/>
      <c r="B55" s="53">
        <f>IFERROR(SUMPRODUCT(LARGE(IF(('MİNİK B KIZLAR'!$D$6:$D$45=A55)*('MİNİK B KIZLAR'!$E$6:$E$45="Takım"),'MİNİK B KIZLAR'!$I$6:$I$45,0),{1,2,3})),0)</f>
        <v/>
      </c>
      <c r="C55" s="53">
        <f>IFERROR(SUMPRODUCT(LARGE(IF(('MİNİK B KIZLAR'!$D$6:$D$45=A55)*('MİNİK B KIZLAR'!$E$6:$E$45="Takım"),'MİNİK B KIZLAR'!$N$6:$N$45,0),{1,2,3})),0)</f>
        <v/>
      </c>
      <c r="D55" s="36">
        <f>B55+C55</f>
        <v/>
      </c>
      <c r="E55" s="51" t="n">
        <v>0</v>
      </c>
      <c r="F55" s="36">
        <f>IF(A55="","",D55-IFERROR(E55+0,0))</f>
        <v/>
      </c>
      <c r="G55" s="37">
        <f>IF(A55="","-",RANK.EQ(F55,$F$54:$F$73,0))</f>
        <v/>
      </c>
    </row>
    <row r="56">
      <c r="A56" s="50" t="n"/>
      <c r="B56" s="33">
        <f>IFERROR(SUMPRODUCT(LARGE(IF(('MİNİK B KIZLAR'!$D$6:$D$45=A56)*('MİNİK B KIZLAR'!$E$6:$E$45="Takım"),'MİNİK B KIZLAR'!$I$6:$I$45,0),{1,2,3})),0)</f>
        <v/>
      </c>
      <c r="C56" s="33">
        <f>IFERROR(SUMPRODUCT(LARGE(IF(('MİNİK B KIZLAR'!$D$6:$D$45=A56)*('MİNİK B KIZLAR'!$E$6:$E$45="Takım"),'MİNİK B KIZLAR'!$N$6:$N$45,0),{1,2,3})),0)</f>
        <v/>
      </c>
      <c r="D56" s="36">
        <f>B56+C56</f>
        <v/>
      </c>
      <c r="E56" s="51" t="n">
        <v>0</v>
      </c>
      <c r="F56" s="36">
        <f>IF(A56="","",D56-IFERROR(E56+0,0))</f>
        <v/>
      </c>
      <c r="G56" s="37">
        <f>IF(A56="","-",RANK.EQ(F56,$F$54:$F$73,0))</f>
        <v/>
      </c>
    </row>
    <row r="57">
      <c r="A57" s="52" t="n"/>
      <c r="B57" s="53">
        <f>IFERROR(SUMPRODUCT(LARGE(IF(('MİNİK B KIZLAR'!$D$6:$D$45=A57)*('MİNİK B KIZLAR'!$E$6:$E$45="Takım"),'MİNİK B KIZLAR'!$I$6:$I$45,0),{1,2,3})),0)</f>
        <v/>
      </c>
      <c r="C57" s="53">
        <f>IFERROR(SUMPRODUCT(LARGE(IF(('MİNİK B KIZLAR'!$D$6:$D$45=A57)*('MİNİK B KIZLAR'!$E$6:$E$45="Takım"),'MİNİK B KIZLAR'!$N$6:$N$45,0),{1,2,3})),0)</f>
        <v/>
      </c>
      <c r="D57" s="36">
        <f>B57+C57</f>
        <v/>
      </c>
      <c r="E57" s="51" t="n">
        <v>0</v>
      </c>
      <c r="F57" s="36">
        <f>IF(A57="","",D57-IFERROR(E57+0,0))</f>
        <v/>
      </c>
      <c r="G57" s="37">
        <f>IF(A57="","-",RANK.EQ(F57,$F$54:$F$73,0))</f>
        <v/>
      </c>
    </row>
    <row r="58">
      <c r="A58" s="50" t="n"/>
      <c r="B58" s="33">
        <f>IFERROR(SUMPRODUCT(LARGE(IF(('MİNİK B KIZLAR'!$D$6:$D$45=A58)*('MİNİK B KIZLAR'!$E$6:$E$45="Takım"),'MİNİK B KIZLAR'!$I$6:$I$45,0),{1,2,3})),0)</f>
        <v/>
      </c>
      <c r="C58" s="33">
        <f>IFERROR(SUMPRODUCT(LARGE(IF(('MİNİK B KIZLAR'!$D$6:$D$45=A58)*('MİNİK B KIZLAR'!$E$6:$E$45="Takım"),'MİNİK B KIZLAR'!$N$6:$N$45,0),{1,2,3})),0)</f>
        <v/>
      </c>
      <c r="D58" s="36">
        <f>B58+C58</f>
        <v/>
      </c>
      <c r="E58" s="51" t="n">
        <v>0</v>
      </c>
      <c r="F58" s="36">
        <f>IF(A58="","",D58-IFERROR(E58+0,0))</f>
        <v/>
      </c>
      <c r="G58" s="37">
        <f>IF(A58="","-",RANK.EQ(F58,$F$54:$F$73,0))</f>
        <v/>
      </c>
    </row>
    <row r="59">
      <c r="A59" s="52" t="n"/>
      <c r="B59" s="53">
        <f>IFERROR(SUMPRODUCT(LARGE(IF(('MİNİK B KIZLAR'!$D$6:$D$45=A59)*('MİNİK B KIZLAR'!$E$6:$E$45="Takım"),'MİNİK B KIZLAR'!$I$6:$I$45,0),{1,2,3})),0)</f>
        <v/>
      </c>
      <c r="C59" s="53">
        <f>IFERROR(SUMPRODUCT(LARGE(IF(('MİNİK B KIZLAR'!$D$6:$D$45=A59)*('MİNİK B KIZLAR'!$E$6:$E$45="Takım"),'MİNİK B KIZLAR'!$N$6:$N$45,0),{1,2,3})),0)</f>
        <v/>
      </c>
      <c r="D59" s="36">
        <f>B59+C59</f>
        <v/>
      </c>
      <c r="E59" s="51" t="n">
        <v>0</v>
      </c>
      <c r="F59" s="36">
        <f>IF(A59="","",D59-IFERROR(E59+0,0))</f>
        <v/>
      </c>
      <c r="G59" s="37">
        <f>IF(A59="","-",RANK.EQ(F59,$F$54:$F$73,0))</f>
        <v/>
      </c>
    </row>
    <row r="60">
      <c r="A60" s="50" t="n"/>
      <c r="B60" s="33">
        <f>IFERROR(SUMPRODUCT(LARGE(IF(('MİNİK B KIZLAR'!$D$6:$D$45=A60)*('MİNİK B KIZLAR'!$E$6:$E$45="Takım"),'MİNİK B KIZLAR'!$I$6:$I$45,0),{1,2,3})),0)</f>
        <v/>
      </c>
      <c r="C60" s="33">
        <f>IFERROR(SUMPRODUCT(LARGE(IF(('MİNİK B KIZLAR'!$D$6:$D$45=A60)*('MİNİK B KIZLAR'!$E$6:$E$45="Takım"),'MİNİK B KIZLAR'!$N$6:$N$45,0),{1,2,3})),0)</f>
        <v/>
      </c>
      <c r="D60" s="36">
        <f>B60+C60</f>
        <v/>
      </c>
      <c r="E60" s="51" t="n">
        <v>0</v>
      </c>
      <c r="F60" s="36">
        <f>IF(A60="","",D60-IFERROR(E60+0,0))</f>
        <v/>
      </c>
      <c r="G60" s="37">
        <f>IF(A60="","-",RANK.EQ(F60,$F$54:$F$73,0))</f>
        <v/>
      </c>
    </row>
    <row r="61">
      <c r="A61" s="52" t="n"/>
      <c r="B61" s="53">
        <f>IFERROR(SUMPRODUCT(LARGE(IF(('MİNİK B KIZLAR'!$D$6:$D$45=A61)*('MİNİK B KIZLAR'!$E$6:$E$45="Takım"),'MİNİK B KIZLAR'!$I$6:$I$45,0),{1,2,3})),0)</f>
        <v/>
      </c>
      <c r="C61" s="53">
        <f>IFERROR(SUMPRODUCT(LARGE(IF(('MİNİK B KIZLAR'!$D$6:$D$45=A61)*('MİNİK B KIZLAR'!$E$6:$E$45="Takım"),'MİNİK B KIZLAR'!$N$6:$N$45,0),{1,2,3})),0)</f>
        <v/>
      </c>
      <c r="D61" s="36">
        <f>B61+C61</f>
        <v/>
      </c>
      <c r="E61" s="51" t="n">
        <v>0</v>
      </c>
      <c r="F61" s="36">
        <f>IF(A61="","",D61-IFERROR(E61+0,0))</f>
        <v/>
      </c>
      <c r="G61" s="37">
        <f>IF(A61="","-",RANK.EQ(F61,$F$54:$F$73,0))</f>
        <v/>
      </c>
    </row>
    <row r="62">
      <c r="A62" s="50" t="n"/>
      <c r="B62" s="33">
        <f>IFERROR(SUMPRODUCT(LARGE(IF(('MİNİK B KIZLAR'!$D$6:$D$45=A62)*('MİNİK B KIZLAR'!$E$6:$E$45="Takım"),'MİNİK B KIZLAR'!$I$6:$I$45,0),{1,2,3})),0)</f>
        <v/>
      </c>
      <c r="C62" s="33">
        <f>IFERROR(SUMPRODUCT(LARGE(IF(('MİNİK B KIZLAR'!$D$6:$D$45=A62)*('MİNİK B KIZLAR'!$E$6:$E$45="Takım"),'MİNİK B KIZLAR'!$N$6:$N$45,0),{1,2,3})),0)</f>
        <v/>
      </c>
      <c r="D62" s="36">
        <f>B62+C62</f>
        <v/>
      </c>
      <c r="E62" s="51" t="n">
        <v>0</v>
      </c>
      <c r="F62" s="36">
        <f>IF(A62="","",D62-IFERROR(E62+0,0))</f>
        <v/>
      </c>
      <c r="G62" s="37">
        <f>IF(A62="","-",RANK.EQ(F62,$F$54:$F$73,0))</f>
        <v/>
      </c>
    </row>
    <row r="63">
      <c r="A63" s="52" t="n"/>
      <c r="B63" s="53">
        <f>IFERROR(SUMPRODUCT(LARGE(IF(('MİNİK B KIZLAR'!$D$6:$D$45=A63)*('MİNİK B KIZLAR'!$E$6:$E$45="Takım"),'MİNİK B KIZLAR'!$I$6:$I$45,0),{1,2,3})),0)</f>
        <v/>
      </c>
      <c r="C63" s="53">
        <f>IFERROR(SUMPRODUCT(LARGE(IF(('MİNİK B KIZLAR'!$D$6:$D$45=A63)*('MİNİK B KIZLAR'!$E$6:$E$45="Takım"),'MİNİK B KIZLAR'!$N$6:$N$45,0),{1,2,3})),0)</f>
        <v/>
      </c>
      <c r="D63" s="36">
        <f>B63+C63</f>
        <v/>
      </c>
      <c r="E63" s="51" t="n">
        <v>0</v>
      </c>
      <c r="F63" s="36">
        <f>IF(A63="","",D63-IFERROR(E63+0,0))</f>
        <v/>
      </c>
      <c r="G63" s="37">
        <f>IF(A63="","-",RANK.EQ(F63,$F$54:$F$73,0))</f>
        <v/>
      </c>
    </row>
    <row r="64">
      <c r="A64" s="50" t="n"/>
      <c r="B64" s="33">
        <f>IFERROR(SUMPRODUCT(LARGE(IF(('MİNİK B KIZLAR'!$D$6:$D$45=A64)*('MİNİK B KIZLAR'!$E$6:$E$45="Takım"),'MİNİK B KIZLAR'!$I$6:$I$45,0),{1,2,3})),0)</f>
        <v/>
      </c>
      <c r="C64" s="33">
        <f>IFERROR(SUMPRODUCT(LARGE(IF(('MİNİK B KIZLAR'!$D$6:$D$45=A64)*('MİNİK B KIZLAR'!$E$6:$E$45="Takım"),'MİNİK B KIZLAR'!$N$6:$N$45,0),{1,2,3})),0)</f>
        <v/>
      </c>
      <c r="D64" s="36">
        <f>B64+C64</f>
        <v/>
      </c>
      <c r="E64" s="51" t="n">
        <v>0</v>
      </c>
      <c r="F64" s="36">
        <f>IF(A64="","",D64-IFERROR(E64+0,0))</f>
        <v/>
      </c>
      <c r="G64" s="37">
        <f>IF(A64="","-",RANK.EQ(F64,$F$54:$F$73,0))</f>
        <v/>
      </c>
    </row>
    <row r="65">
      <c r="A65" s="52" t="n"/>
      <c r="B65" s="53">
        <f>IFERROR(SUMPRODUCT(LARGE(IF(('MİNİK B KIZLAR'!$D$6:$D$45=A65)*('MİNİK B KIZLAR'!$E$6:$E$45="Takım"),'MİNİK B KIZLAR'!$I$6:$I$45,0),{1,2,3})),0)</f>
        <v/>
      </c>
      <c r="C65" s="53">
        <f>IFERROR(SUMPRODUCT(LARGE(IF(('MİNİK B KIZLAR'!$D$6:$D$45=A65)*('MİNİK B KIZLAR'!$E$6:$E$45="Takım"),'MİNİK B KIZLAR'!$N$6:$N$45,0),{1,2,3})),0)</f>
        <v/>
      </c>
      <c r="D65" s="36">
        <f>B65+C65</f>
        <v/>
      </c>
      <c r="E65" s="51" t="n">
        <v>0</v>
      </c>
      <c r="F65" s="36">
        <f>IF(A65="","",D65-IFERROR(E65+0,0))</f>
        <v/>
      </c>
      <c r="G65" s="37">
        <f>IF(A65="","-",RANK.EQ(F65,$F$54:$F$73,0))</f>
        <v/>
      </c>
    </row>
    <row r="66">
      <c r="A66" s="50" t="n"/>
      <c r="B66" s="33">
        <f>IFERROR(SUMPRODUCT(LARGE(IF(('MİNİK B KIZLAR'!$D$6:$D$45=A66)*('MİNİK B KIZLAR'!$E$6:$E$45="Takım"),'MİNİK B KIZLAR'!$I$6:$I$45,0),{1,2,3})),0)</f>
        <v/>
      </c>
      <c r="C66" s="33">
        <f>IFERROR(SUMPRODUCT(LARGE(IF(('MİNİK B KIZLAR'!$D$6:$D$45=A66)*('MİNİK B KIZLAR'!$E$6:$E$45="Takım"),'MİNİK B KIZLAR'!$N$6:$N$45,0),{1,2,3})),0)</f>
        <v/>
      </c>
      <c r="D66" s="36">
        <f>B66+C66</f>
        <v/>
      </c>
      <c r="E66" s="51" t="n">
        <v>0</v>
      </c>
      <c r="F66" s="36">
        <f>IF(A66="","",D66-IFERROR(E66+0,0))</f>
        <v/>
      </c>
      <c r="G66" s="37">
        <f>IF(A66="","-",RANK.EQ(F66,$F$54:$F$73,0))</f>
        <v/>
      </c>
    </row>
    <row r="67">
      <c r="A67" s="52" t="n"/>
      <c r="B67" s="53">
        <f>IFERROR(SUMPRODUCT(LARGE(IF(('MİNİK B KIZLAR'!$D$6:$D$45=A67)*('MİNİK B KIZLAR'!$E$6:$E$45="Takım"),'MİNİK B KIZLAR'!$I$6:$I$45,0),{1,2,3})),0)</f>
        <v/>
      </c>
      <c r="C67" s="53">
        <f>IFERROR(SUMPRODUCT(LARGE(IF(('MİNİK B KIZLAR'!$D$6:$D$45=A67)*('MİNİK B KIZLAR'!$E$6:$E$45="Takım"),'MİNİK B KIZLAR'!$N$6:$N$45,0),{1,2,3})),0)</f>
        <v/>
      </c>
      <c r="D67" s="36">
        <f>B67+C67</f>
        <v/>
      </c>
      <c r="E67" s="51" t="n">
        <v>0</v>
      </c>
      <c r="F67" s="36">
        <f>IF(A67="","",D67-IFERROR(E67+0,0))</f>
        <v/>
      </c>
      <c r="G67" s="37">
        <f>IF(A67="","-",RANK.EQ(F67,$F$54:$F$73,0))</f>
        <v/>
      </c>
    </row>
    <row r="68">
      <c r="A68" s="50" t="n"/>
      <c r="B68" s="33">
        <f>IFERROR(SUMPRODUCT(LARGE(IF(('MİNİK B KIZLAR'!$D$6:$D$45=A68)*('MİNİK B KIZLAR'!$E$6:$E$45="Takım"),'MİNİK B KIZLAR'!$I$6:$I$45,0),{1,2,3})),0)</f>
        <v/>
      </c>
      <c r="C68" s="33">
        <f>IFERROR(SUMPRODUCT(LARGE(IF(('MİNİK B KIZLAR'!$D$6:$D$45=A68)*('MİNİK B KIZLAR'!$E$6:$E$45="Takım"),'MİNİK B KIZLAR'!$N$6:$N$45,0),{1,2,3})),0)</f>
        <v/>
      </c>
      <c r="D68" s="36">
        <f>B68+C68</f>
        <v/>
      </c>
      <c r="E68" s="51" t="n">
        <v>0</v>
      </c>
      <c r="F68" s="36">
        <f>IF(A68="","",D68-IFERROR(E68+0,0))</f>
        <v/>
      </c>
      <c r="G68" s="37">
        <f>IF(A68="","-",RANK.EQ(F68,$F$54:$F$73,0))</f>
        <v/>
      </c>
    </row>
    <row r="69">
      <c r="A69" s="52" t="n"/>
      <c r="B69" s="53">
        <f>IFERROR(SUMPRODUCT(LARGE(IF(('MİNİK B KIZLAR'!$D$6:$D$45=A69)*('MİNİK B KIZLAR'!$E$6:$E$45="Takım"),'MİNİK B KIZLAR'!$I$6:$I$45,0),{1,2,3})),0)</f>
        <v/>
      </c>
      <c r="C69" s="53">
        <f>IFERROR(SUMPRODUCT(LARGE(IF(('MİNİK B KIZLAR'!$D$6:$D$45=A69)*('MİNİK B KIZLAR'!$E$6:$E$45="Takım"),'MİNİK B KIZLAR'!$N$6:$N$45,0),{1,2,3})),0)</f>
        <v/>
      </c>
      <c r="D69" s="36">
        <f>B69+C69</f>
        <v/>
      </c>
      <c r="E69" s="51" t="n">
        <v>0</v>
      </c>
      <c r="F69" s="36">
        <f>IF(A69="","",D69-IFERROR(E69+0,0))</f>
        <v/>
      </c>
      <c r="G69" s="37">
        <f>IF(A69="","-",RANK.EQ(F69,$F$54:$F$73,0))</f>
        <v/>
      </c>
    </row>
    <row r="70">
      <c r="A70" s="50" t="n"/>
      <c r="B70" s="33">
        <f>IFERROR(SUMPRODUCT(LARGE(IF(('MİNİK B KIZLAR'!$D$6:$D$45=A70)*('MİNİK B KIZLAR'!$E$6:$E$45="Takım"),'MİNİK B KIZLAR'!$I$6:$I$45,0),{1,2,3})),0)</f>
        <v/>
      </c>
      <c r="C70" s="33">
        <f>IFERROR(SUMPRODUCT(LARGE(IF(('MİNİK B KIZLAR'!$D$6:$D$45=A70)*('MİNİK B KIZLAR'!$E$6:$E$45="Takım"),'MİNİK B KIZLAR'!$N$6:$N$45,0),{1,2,3})),0)</f>
        <v/>
      </c>
      <c r="D70" s="36">
        <f>B70+C70</f>
        <v/>
      </c>
      <c r="E70" s="51" t="n">
        <v>0</v>
      </c>
      <c r="F70" s="36">
        <f>IF(A70="","",D70-IFERROR(E70+0,0))</f>
        <v/>
      </c>
      <c r="G70" s="37">
        <f>IF(A70="","-",RANK.EQ(F70,$F$54:$F$73,0))</f>
        <v/>
      </c>
    </row>
    <row r="71">
      <c r="A71" s="52" t="n"/>
      <c r="B71" s="53">
        <f>IFERROR(SUMPRODUCT(LARGE(IF(('MİNİK B KIZLAR'!$D$6:$D$45=A71)*('MİNİK B KIZLAR'!$E$6:$E$45="Takım"),'MİNİK B KIZLAR'!$I$6:$I$45,0),{1,2,3})),0)</f>
        <v/>
      </c>
      <c r="C71" s="53">
        <f>IFERROR(SUMPRODUCT(LARGE(IF(('MİNİK B KIZLAR'!$D$6:$D$45=A71)*('MİNİK B KIZLAR'!$E$6:$E$45="Takım"),'MİNİK B KIZLAR'!$N$6:$N$45,0),{1,2,3})),0)</f>
        <v/>
      </c>
      <c r="D71" s="36">
        <f>B71+C71</f>
        <v/>
      </c>
      <c r="E71" s="51" t="n">
        <v>0</v>
      </c>
      <c r="F71" s="36">
        <f>IF(A71="","",D71-IFERROR(E71+0,0))</f>
        <v/>
      </c>
      <c r="G71" s="37">
        <f>IF(A71="","-",RANK.EQ(F71,$F$54:$F$73,0))</f>
        <v/>
      </c>
    </row>
    <row r="72">
      <c r="A72" s="50" t="n"/>
      <c r="B72" s="33">
        <f>IFERROR(SUMPRODUCT(LARGE(IF(('MİNİK B KIZLAR'!$D$6:$D$45=A72)*('MİNİK B KIZLAR'!$E$6:$E$45="Takım"),'MİNİK B KIZLAR'!$I$6:$I$45,0),{1,2,3})),0)</f>
        <v/>
      </c>
      <c r="C72" s="33">
        <f>IFERROR(SUMPRODUCT(LARGE(IF(('MİNİK B KIZLAR'!$D$6:$D$45=A72)*('MİNİK B KIZLAR'!$E$6:$E$45="Takım"),'MİNİK B KIZLAR'!$N$6:$N$45,0),{1,2,3})),0)</f>
        <v/>
      </c>
      <c r="D72" s="36">
        <f>B72+C72</f>
        <v/>
      </c>
      <c r="E72" s="51" t="n">
        <v>0</v>
      </c>
      <c r="F72" s="36">
        <f>IF(A72="","",D72-IFERROR(E72+0,0))</f>
        <v/>
      </c>
      <c r="G72" s="37">
        <f>IF(A72="","-",RANK.EQ(F72,$F$54:$F$73,0))</f>
        <v/>
      </c>
    </row>
    <row r="73">
      <c r="A73" s="52" t="n"/>
      <c r="B73" s="53">
        <f>IFERROR(SUMPRODUCT(LARGE(IF(('MİNİK B KIZLAR'!$D$6:$D$45=A73)*('MİNİK B KIZLAR'!$E$6:$E$45="Takım"),'MİNİK B KIZLAR'!$I$6:$I$45,0),{1,2,3})),0)</f>
        <v/>
      </c>
      <c r="C73" s="53">
        <f>IFERROR(SUMPRODUCT(LARGE(IF(('MİNİK B KIZLAR'!$D$6:$D$45=A73)*('MİNİK B KIZLAR'!$E$6:$E$45="Takım"),'MİNİK B KIZLAR'!$N$6:$N$45,0),{1,2,3})),0)</f>
        <v/>
      </c>
      <c r="D73" s="36">
        <f>B73+C73</f>
        <v/>
      </c>
      <c r="E73" s="51" t="n">
        <v>0</v>
      </c>
      <c r="F73" s="36">
        <f>IF(A73="","",D73-IFERROR(E73+0,0))</f>
        <v/>
      </c>
      <c r="G73" s="37">
        <f>IF(A73="","-",RANK.EQ(F73,$F$54:$F$73,0))</f>
        <v/>
      </c>
    </row>
    <row r="76" ht="24" customHeight="1">
      <c r="A76" s="54" t="inlineStr">
        <is>
          <t>MİNİK B ERKEKLER  —  TAKIM SIRALAMASI</t>
        </is>
      </c>
    </row>
    <row r="77" ht="22" customHeight="1">
      <c r="A77" s="27" t="inlineStr">
        <is>
          <t>TAKIM ADI</t>
        </is>
      </c>
      <c r="B77" s="27" t="inlineStr">
        <is>
          <t>En İyi 3
FX</t>
        </is>
      </c>
      <c r="C77" s="27" t="inlineStr">
        <is>
          <t>En İyi 3
VT</t>
        </is>
      </c>
      <c r="D77" s="27" t="inlineStr">
        <is>
          <t>TOPLAM</t>
        </is>
      </c>
      <c r="E77" s="27" t="inlineStr">
        <is>
          <t>KESİNTİ</t>
        </is>
      </c>
      <c r="F77" s="27" t="inlineStr">
        <is>
          <t>FİNAL PUAN</t>
        </is>
      </c>
      <c r="G77" s="27" t="inlineStr">
        <is>
          <t>SIRALAMA</t>
        </is>
      </c>
    </row>
    <row r="78">
      <c r="A78" s="50" t="n"/>
      <c r="B78" s="33">
        <f>IFERROR(SUMPRODUCT(LARGE(IF(('MİNİK B ERKEKLER'!$D$6:$D$45=A78)*('MİNİK B ERKEKLER'!$E$6:$E$45="Takım"),'MİNİK B ERKEKLER'!$I$6:$I$45,0),{1,2,3})),0)</f>
        <v/>
      </c>
      <c r="C78" s="33">
        <f>IFERROR(SUMPRODUCT(LARGE(IF(('MİNİK B ERKEKLER'!$D$6:$D$45=A78)*('MİNİK B ERKEKLER'!$E$6:$E$45="Takım"),'MİNİK B ERKEKLER'!$N$6:$N$45,0),{1,2,3})),0)</f>
        <v/>
      </c>
      <c r="D78" s="36">
        <f>B78+C78</f>
        <v/>
      </c>
      <c r="E78" s="51" t="n">
        <v>0</v>
      </c>
      <c r="F78" s="36">
        <f>IF(A78="","",D78-IFERROR(E78+0,0))</f>
        <v/>
      </c>
      <c r="G78" s="37">
        <f>IF(A78="","-",RANK.EQ(F78,$F$78:$F$97,0))</f>
        <v/>
      </c>
    </row>
    <row r="79">
      <c r="A79" s="52" t="n"/>
      <c r="B79" s="53">
        <f>IFERROR(SUMPRODUCT(LARGE(IF(('MİNİK B ERKEKLER'!$D$6:$D$45=A79)*('MİNİK B ERKEKLER'!$E$6:$E$45="Takım"),'MİNİK B ERKEKLER'!$I$6:$I$45,0),{1,2,3})),0)</f>
        <v/>
      </c>
      <c r="C79" s="53">
        <f>IFERROR(SUMPRODUCT(LARGE(IF(('MİNİK B ERKEKLER'!$D$6:$D$45=A79)*('MİNİK B ERKEKLER'!$E$6:$E$45="Takım"),'MİNİK B ERKEKLER'!$N$6:$N$45,0),{1,2,3})),0)</f>
        <v/>
      </c>
      <c r="D79" s="36">
        <f>B79+C79</f>
        <v/>
      </c>
      <c r="E79" s="51" t="n">
        <v>0</v>
      </c>
      <c r="F79" s="36">
        <f>IF(A79="","",D79-IFERROR(E79+0,0))</f>
        <v/>
      </c>
      <c r="G79" s="37">
        <f>IF(A79="","-",RANK.EQ(F79,$F$78:$F$97,0))</f>
        <v/>
      </c>
    </row>
    <row r="80">
      <c r="A80" s="50" t="n"/>
      <c r="B80" s="33">
        <f>IFERROR(SUMPRODUCT(LARGE(IF(('MİNİK B ERKEKLER'!$D$6:$D$45=A80)*('MİNİK B ERKEKLER'!$E$6:$E$45="Takım"),'MİNİK B ERKEKLER'!$I$6:$I$45,0),{1,2,3})),0)</f>
        <v/>
      </c>
      <c r="C80" s="33">
        <f>IFERROR(SUMPRODUCT(LARGE(IF(('MİNİK B ERKEKLER'!$D$6:$D$45=A80)*('MİNİK B ERKEKLER'!$E$6:$E$45="Takım"),'MİNİK B ERKEKLER'!$N$6:$N$45,0),{1,2,3})),0)</f>
        <v/>
      </c>
      <c r="D80" s="36">
        <f>B80+C80</f>
        <v/>
      </c>
      <c r="E80" s="51" t="n">
        <v>0</v>
      </c>
      <c r="F80" s="36">
        <f>IF(A80="","",D80-IFERROR(E80+0,0))</f>
        <v/>
      </c>
      <c r="G80" s="37">
        <f>IF(A80="","-",RANK.EQ(F80,$F$78:$F$97,0))</f>
        <v/>
      </c>
    </row>
    <row r="81">
      <c r="A81" s="52" t="n"/>
      <c r="B81" s="53">
        <f>IFERROR(SUMPRODUCT(LARGE(IF(('MİNİK B ERKEKLER'!$D$6:$D$45=A81)*('MİNİK B ERKEKLER'!$E$6:$E$45="Takım"),'MİNİK B ERKEKLER'!$I$6:$I$45,0),{1,2,3})),0)</f>
        <v/>
      </c>
      <c r="C81" s="53">
        <f>IFERROR(SUMPRODUCT(LARGE(IF(('MİNİK B ERKEKLER'!$D$6:$D$45=A81)*('MİNİK B ERKEKLER'!$E$6:$E$45="Takım"),'MİNİK B ERKEKLER'!$N$6:$N$45,0),{1,2,3})),0)</f>
        <v/>
      </c>
      <c r="D81" s="36">
        <f>B81+C81</f>
        <v/>
      </c>
      <c r="E81" s="51" t="n">
        <v>0</v>
      </c>
      <c r="F81" s="36">
        <f>IF(A81="","",D81-IFERROR(E81+0,0))</f>
        <v/>
      </c>
      <c r="G81" s="37">
        <f>IF(A81="","-",RANK.EQ(F81,$F$78:$F$97,0))</f>
        <v/>
      </c>
    </row>
    <row r="82">
      <c r="A82" s="50" t="n"/>
      <c r="B82" s="33">
        <f>IFERROR(SUMPRODUCT(LARGE(IF(('MİNİK B ERKEKLER'!$D$6:$D$45=A82)*('MİNİK B ERKEKLER'!$E$6:$E$45="Takım"),'MİNİK B ERKEKLER'!$I$6:$I$45,0),{1,2,3})),0)</f>
        <v/>
      </c>
      <c r="C82" s="33">
        <f>IFERROR(SUMPRODUCT(LARGE(IF(('MİNİK B ERKEKLER'!$D$6:$D$45=A82)*('MİNİK B ERKEKLER'!$E$6:$E$45="Takım"),'MİNİK B ERKEKLER'!$N$6:$N$45,0),{1,2,3})),0)</f>
        <v/>
      </c>
      <c r="D82" s="36">
        <f>B82+C82</f>
        <v/>
      </c>
      <c r="E82" s="51" t="n">
        <v>0</v>
      </c>
      <c r="F82" s="36">
        <f>IF(A82="","",D82-IFERROR(E82+0,0))</f>
        <v/>
      </c>
      <c r="G82" s="37">
        <f>IF(A82="","-",RANK.EQ(F82,$F$78:$F$97,0))</f>
        <v/>
      </c>
    </row>
    <row r="83">
      <c r="A83" s="52" t="n"/>
      <c r="B83" s="53">
        <f>IFERROR(SUMPRODUCT(LARGE(IF(('MİNİK B ERKEKLER'!$D$6:$D$45=A83)*('MİNİK B ERKEKLER'!$E$6:$E$45="Takım"),'MİNİK B ERKEKLER'!$I$6:$I$45,0),{1,2,3})),0)</f>
        <v/>
      </c>
      <c r="C83" s="53">
        <f>IFERROR(SUMPRODUCT(LARGE(IF(('MİNİK B ERKEKLER'!$D$6:$D$45=A83)*('MİNİK B ERKEKLER'!$E$6:$E$45="Takım"),'MİNİK B ERKEKLER'!$N$6:$N$45,0),{1,2,3})),0)</f>
        <v/>
      </c>
      <c r="D83" s="36">
        <f>B83+C83</f>
        <v/>
      </c>
      <c r="E83" s="51" t="n">
        <v>0</v>
      </c>
      <c r="F83" s="36">
        <f>IF(A83="","",D83-IFERROR(E83+0,0))</f>
        <v/>
      </c>
      <c r="G83" s="37">
        <f>IF(A83="","-",RANK.EQ(F83,$F$78:$F$97,0))</f>
        <v/>
      </c>
    </row>
    <row r="84">
      <c r="A84" s="50" t="n"/>
      <c r="B84" s="33">
        <f>IFERROR(SUMPRODUCT(LARGE(IF(('MİNİK B ERKEKLER'!$D$6:$D$45=A84)*('MİNİK B ERKEKLER'!$E$6:$E$45="Takım"),'MİNİK B ERKEKLER'!$I$6:$I$45,0),{1,2,3})),0)</f>
        <v/>
      </c>
      <c r="C84" s="33">
        <f>IFERROR(SUMPRODUCT(LARGE(IF(('MİNİK B ERKEKLER'!$D$6:$D$45=A84)*('MİNİK B ERKEKLER'!$E$6:$E$45="Takım"),'MİNİK B ERKEKLER'!$N$6:$N$45,0),{1,2,3})),0)</f>
        <v/>
      </c>
      <c r="D84" s="36">
        <f>B84+C84</f>
        <v/>
      </c>
      <c r="E84" s="51" t="n">
        <v>0</v>
      </c>
      <c r="F84" s="36">
        <f>IF(A84="","",D84-IFERROR(E84+0,0))</f>
        <v/>
      </c>
      <c r="G84" s="37">
        <f>IF(A84="","-",RANK.EQ(F84,$F$78:$F$97,0))</f>
        <v/>
      </c>
    </row>
    <row r="85">
      <c r="A85" s="52" t="n"/>
      <c r="B85" s="53">
        <f>IFERROR(SUMPRODUCT(LARGE(IF(('MİNİK B ERKEKLER'!$D$6:$D$45=A85)*('MİNİK B ERKEKLER'!$E$6:$E$45="Takım"),'MİNİK B ERKEKLER'!$I$6:$I$45,0),{1,2,3})),0)</f>
        <v/>
      </c>
      <c r="C85" s="53">
        <f>IFERROR(SUMPRODUCT(LARGE(IF(('MİNİK B ERKEKLER'!$D$6:$D$45=A85)*('MİNİK B ERKEKLER'!$E$6:$E$45="Takım"),'MİNİK B ERKEKLER'!$N$6:$N$45,0),{1,2,3})),0)</f>
        <v/>
      </c>
      <c r="D85" s="36">
        <f>B85+C85</f>
        <v/>
      </c>
      <c r="E85" s="51" t="n">
        <v>0</v>
      </c>
      <c r="F85" s="36">
        <f>IF(A85="","",D85-IFERROR(E85+0,0))</f>
        <v/>
      </c>
      <c r="G85" s="37">
        <f>IF(A85="","-",RANK.EQ(F85,$F$78:$F$97,0))</f>
        <v/>
      </c>
    </row>
    <row r="86">
      <c r="A86" s="50" t="n"/>
      <c r="B86" s="33">
        <f>IFERROR(SUMPRODUCT(LARGE(IF(('MİNİK B ERKEKLER'!$D$6:$D$45=A86)*('MİNİK B ERKEKLER'!$E$6:$E$45="Takım"),'MİNİK B ERKEKLER'!$I$6:$I$45,0),{1,2,3})),0)</f>
        <v/>
      </c>
      <c r="C86" s="33">
        <f>IFERROR(SUMPRODUCT(LARGE(IF(('MİNİK B ERKEKLER'!$D$6:$D$45=A86)*('MİNİK B ERKEKLER'!$E$6:$E$45="Takım"),'MİNİK B ERKEKLER'!$N$6:$N$45,0),{1,2,3})),0)</f>
        <v/>
      </c>
      <c r="D86" s="36">
        <f>B86+C86</f>
        <v/>
      </c>
      <c r="E86" s="51" t="n">
        <v>0</v>
      </c>
      <c r="F86" s="36">
        <f>IF(A86="","",D86-IFERROR(E86+0,0))</f>
        <v/>
      </c>
      <c r="G86" s="37">
        <f>IF(A86="","-",RANK.EQ(F86,$F$78:$F$97,0))</f>
        <v/>
      </c>
    </row>
    <row r="87">
      <c r="A87" s="52" t="n"/>
      <c r="B87" s="53">
        <f>IFERROR(SUMPRODUCT(LARGE(IF(('MİNİK B ERKEKLER'!$D$6:$D$45=A87)*('MİNİK B ERKEKLER'!$E$6:$E$45="Takım"),'MİNİK B ERKEKLER'!$I$6:$I$45,0),{1,2,3})),0)</f>
        <v/>
      </c>
      <c r="C87" s="53">
        <f>IFERROR(SUMPRODUCT(LARGE(IF(('MİNİK B ERKEKLER'!$D$6:$D$45=A87)*('MİNİK B ERKEKLER'!$E$6:$E$45="Takım"),'MİNİK B ERKEKLER'!$N$6:$N$45,0),{1,2,3})),0)</f>
        <v/>
      </c>
      <c r="D87" s="36">
        <f>B87+C87</f>
        <v/>
      </c>
      <c r="E87" s="51" t="n">
        <v>0</v>
      </c>
      <c r="F87" s="36">
        <f>IF(A87="","",D87-IFERROR(E87+0,0))</f>
        <v/>
      </c>
      <c r="G87" s="37">
        <f>IF(A87="","-",RANK.EQ(F87,$F$78:$F$97,0))</f>
        <v/>
      </c>
    </row>
    <row r="88">
      <c r="A88" s="50" t="n"/>
      <c r="B88" s="33">
        <f>IFERROR(SUMPRODUCT(LARGE(IF(('MİNİK B ERKEKLER'!$D$6:$D$45=A88)*('MİNİK B ERKEKLER'!$E$6:$E$45="Takım"),'MİNİK B ERKEKLER'!$I$6:$I$45,0),{1,2,3})),0)</f>
        <v/>
      </c>
      <c r="C88" s="33">
        <f>IFERROR(SUMPRODUCT(LARGE(IF(('MİNİK B ERKEKLER'!$D$6:$D$45=A88)*('MİNİK B ERKEKLER'!$E$6:$E$45="Takım"),'MİNİK B ERKEKLER'!$N$6:$N$45,0),{1,2,3})),0)</f>
        <v/>
      </c>
      <c r="D88" s="36">
        <f>B88+C88</f>
        <v/>
      </c>
      <c r="E88" s="51" t="n">
        <v>0</v>
      </c>
      <c r="F88" s="36">
        <f>IF(A88="","",D88-IFERROR(E88+0,0))</f>
        <v/>
      </c>
      <c r="G88" s="37">
        <f>IF(A88="","-",RANK.EQ(F88,$F$78:$F$97,0))</f>
        <v/>
      </c>
    </row>
    <row r="89">
      <c r="A89" s="52" t="n"/>
      <c r="B89" s="53">
        <f>IFERROR(SUMPRODUCT(LARGE(IF(('MİNİK B ERKEKLER'!$D$6:$D$45=A89)*('MİNİK B ERKEKLER'!$E$6:$E$45="Takım"),'MİNİK B ERKEKLER'!$I$6:$I$45,0),{1,2,3})),0)</f>
        <v/>
      </c>
      <c r="C89" s="53">
        <f>IFERROR(SUMPRODUCT(LARGE(IF(('MİNİK B ERKEKLER'!$D$6:$D$45=A89)*('MİNİK B ERKEKLER'!$E$6:$E$45="Takım"),'MİNİK B ERKEKLER'!$N$6:$N$45,0),{1,2,3})),0)</f>
        <v/>
      </c>
      <c r="D89" s="36">
        <f>B89+C89</f>
        <v/>
      </c>
      <c r="E89" s="51" t="n">
        <v>0</v>
      </c>
      <c r="F89" s="36">
        <f>IF(A89="","",D89-IFERROR(E89+0,0))</f>
        <v/>
      </c>
      <c r="G89" s="37">
        <f>IF(A89="","-",RANK.EQ(F89,$F$78:$F$97,0))</f>
        <v/>
      </c>
    </row>
    <row r="90">
      <c r="A90" s="50" t="n"/>
      <c r="B90" s="33">
        <f>IFERROR(SUMPRODUCT(LARGE(IF(('MİNİK B ERKEKLER'!$D$6:$D$45=A90)*('MİNİK B ERKEKLER'!$E$6:$E$45="Takım"),'MİNİK B ERKEKLER'!$I$6:$I$45,0),{1,2,3})),0)</f>
        <v/>
      </c>
      <c r="C90" s="33">
        <f>IFERROR(SUMPRODUCT(LARGE(IF(('MİNİK B ERKEKLER'!$D$6:$D$45=A90)*('MİNİK B ERKEKLER'!$E$6:$E$45="Takım"),'MİNİK B ERKEKLER'!$N$6:$N$45,0),{1,2,3})),0)</f>
        <v/>
      </c>
      <c r="D90" s="36">
        <f>B90+C90</f>
        <v/>
      </c>
      <c r="E90" s="51" t="n">
        <v>0</v>
      </c>
      <c r="F90" s="36">
        <f>IF(A90="","",D90-IFERROR(E90+0,0))</f>
        <v/>
      </c>
      <c r="G90" s="37">
        <f>IF(A90="","-",RANK.EQ(F90,$F$78:$F$97,0))</f>
        <v/>
      </c>
    </row>
    <row r="91">
      <c r="A91" s="52" t="n"/>
      <c r="B91" s="53">
        <f>IFERROR(SUMPRODUCT(LARGE(IF(('MİNİK B ERKEKLER'!$D$6:$D$45=A91)*('MİNİK B ERKEKLER'!$E$6:$E$45="Takım"),'MİNİK B ERKEKLER'!$I$6:$I$45,0),{1,2,3})),0)</f>
        <v/>
      </c>
      <c r="C91" s="53">
        <f>IFERROR(SUMPRODUCT(LARGE(IF(('MİNİK B ERKEKLER'!$D$6:$D$45=A91)*('MİNİK B ERKEKLER'!$E$6:$E$45="Takım"),'MİNİK B ERKEKLER'!$N$6:$N$45,0),{1,2,3})),0)</f>
        <v/>
      </c>
      <c r="D91" s="36">
        <f>B91+C91</f>
        <v/>
      </c>
      <c r="E91" s="51" t="n">
        <v>0</v>
      </c>
      <c r="F91" s="36">
        <f>IF(A91="","",D91-IFERROR(E91+0,0))</f>
        <v/>
      </c>
      <c r="G91" s="37">
        <f>IF(A91="","-",RANK.EQ(F91,$F$78:$F$97,0))</f>
        <v/>
      </c>
    </row>
    <row r="92">
      <c r="A92" s="50" t="n"/>
      <c r="B92" s="33">
        <f>IFERROR(SUMPRODUCT(LARGE(IF(('MİNİK B ERKEKLER'!$D$6:$D$45=A92)*('MİNİK B ERKEKLER'!$E$6:$E$45="Takım"),'MİNİK B ERKEKLER'!$I$6:$I$45,0),{1,2,3})),0)</f>
        <v/>
      </c>
      <c r="C92" s="33">
        <f>IFERROR(SUMPRODUCT(LARGE(IF(('MİNİK B ERKEKLER'!$D$6:$D$45=A92)*('MİNİK B ERKEKLER'!$E$6:$E$45="Takım"),'MİNİK B ERKEKLER'!$N$6:$N$45,0),{1,2,3})),0)</f>
        <v/>
      </c>
      <c r="D92" s="36">
        <f>B92+C92</f>
        <v/>
      </c>
      <c r="E92" s="51" t="n">
        <v>0</v>
      </c>
      <c r="F92" s="36">
        <f>IF(A92="","",D92-IFERROR(E92+0,0))</f>
        <v/>
      </c>
      <c r="G92" s="37">
        <f>IF(A92="","-",RANK.EQ(F92,$F$78:$F$97,0))</f>
        <v/>
      </c>
    </row>
    <row r="93">
      <c r="A93" s="52" t="n"/>
      <c r="B93" s="53">
        <f>IFERROR(SUMPRODUCT(LARGE(IF(('MİNİK B ERKEKLER'!$D$6:$D$45=A93)*('MİNİK B ERKEKLER'!$E$6:$E$45="Takım"),'MİNİK B ERKEKLER'!$I$6:$I$45,0),{1,2,3})),0)</f>
        <v/>
      </c>
      <c r="C93" s="53">
        <f>IFERROR(SUMPRODUCT(LARGE(IF(('MİNİK B ERKEKLER'!$D$6:$D$45=A93)*('MİNİK B ERKEKLER'!$E$6:$E$45="Takım"),'MİNİK B ERKEKLER'!$N$6:$N$45,0),{1,2,3})),0)</f>
        <v/>
      </c>
      <c r="D93" s="36">
        <f>B93+C93</f>
        <v/>
      </c>
      <c r="E93" s="51" t="n">
        <v>0</v>
      </c>
      <c r="F93" s="36">
        <f>IF(A93="","",D93-IFERROR(E93+0,0))</f>
        <v/>
      </c>
      <c r="G93" s="37">
        <f>IF(A93="","-",RANK.EQ(F93,$F$78:$F$97,0))</f>
        <v/>
      </c>
    </row>
    <row r="94">
      <c r="A94" s="50" t="n"/>
      <c r="B94" s="33">
        <f>IFERROR(SUMPRODUCT(LARGE(IF(('MİNİK B ERKEKLER'!$D$6:$D$45=A94)*('MİNİK B ERKEKLER'!$E$6:$E$45="Takım"),'MİNİK B ERKEKLER'!$I$6:$I$45,0),{1,2,3})),0)</f>
        <v/>
      </c>
      <c r="C94" s="33">
        <f>IFERROR(SUMPRODUCT(LARGE(IF(('MİNİK B ERKEKLER'!$D$6:$D$45=A94)*('MİNİK B ERKEKLER'!$E$6:$E$45="Takım"),'MİNİK B ERKEKLER'!$N$6:$N$45,0),{1,2,3})),0)</f>
        <v/>
      </c>
      <c r="D94" s="36">
        <f>B94+C94</f>
        <v/>
      </c>
      <c r="E94" s="51" t="n">
        <v>0</v>
      </c>
      <c r="F94" s="36">
        <f>IF(A94="","",D94-IFERROR(E94+0,0))</f>
        <v/>
      </c>
      <c r="G94" s="37">
        <f>IF(A94="","-",RANK.EQ(F94,$F$78:$F$97,0))</f>
        <v/>
      </c>
    </row>
    <row r="95">
      <c r="A95" s="52" t="n"/>
      <c r="B95" s="53">
        <f>IFERROR(SUMPRODUCT(LARGE(IF(('MİNİK B ERKEKLER'!$D$6:$D$45=A95)*('MİNİK B ERKEKLER'!$E$6:$E$45="Takım"),'MİNİK B ERKEKLER'!$I$6:$I$45,0),{1,2,3})),0)</f>
        <v/>
      </c>
      <c r="C95" s="53">
        <f>IFERROR(SUMPRODUCT(LARGE(IF(('MİNİK B ERKEKLER'!$D$6:$D$45=A95)*('MİNİK B ERKEKLER'!$E$6:$E$45="Takım"),'MİNİK B ERKEKLER'!$N$6:$N$45,0),{1,2,3})),0)</f>
        <v/>
      </c>
      <c r="D95" s="36">
        <f>B95+C95</f>
        <v/>
      </c>
      <c r="E95" s="51" t="n">
        <v>0</v>
      </c>
      <c r="F95" s="36">
        <f>IF(A95="","",D95-IFERROR(E95+0,0))</f>
        <v/>
      </c>
      <c r="G95" s="37">
        <f>IF(A95="","-",RANK.EQ(F95,$F$78:$F$97,0))</f>
        <v/>
      </c>
    </row>
    <row r="96">
      <c r="A96" s="50" t="n"/>
      <c r="B96" s="33">
        <f>IFERROR(SUMPRODUCT(LARGE(IF(('MİNİK B ERKEKLER'!$D$6:$D$45=A96)*('MİNİK B ERKEKLER'!$E$6:$E$45="Takım"),'MİNİK B ERKEKLER'!$I$6:$I$45,0),{1,2,3})),0)</f>
        <v/>
      </c>
      <c r="C96" s="33">
        <f>IFERROR(SUMPRODUCT(LARGE(IF(('MİNİK B ERKEKLER'!$D$6:$D$45=A96)*('MİNİK B ERKEKLER'!$E$6:$E$45="Takım"),'MİNİK B ERKEKLER'!$N$6:$N$45,0),{1,2,3})),0)</f>
        <v/>
      </c>
      <c r="D96" s="36">
        <f>B96+C96</f>
        <v/>
      </c>
      <c r="E96" s="51" t="n">
        <v>0</v>
      </c>
      <c r="F96" s="36">
        <f>IF(A96="","",D96-IFERROR(E96+0,0))</f>
        <v/>
      </c>
      <c r="G96" s="37">
        <f>IF(A96="","-",RANK.EQ(F96,$F$78:$F$97,0))</f>
        <v/>
      </c>
    </row>
    <row r="97">
      <c r="A97" s="52" t="n"/>
      <c r="B97" s="53">
        <f>IFERROR(SUMPRODUCT(LARGE(IF(('MİNİK B ERKEKLER'!$D$6:$D$45=A97)*('MİNİK B ERKEKLER'!$E$6:$E$45="Takım"),'MİNİK B ERKEKLER'!$I$6:$I$45,0),{1,2,3})),0)</f>
        <v/>
      </c>
      <c r="C97" s="53">
        <f>IFERROR(SUMPRODUCT(LARGE(IF(('MİNİK B ERKEKLER'!$D$6:$D$45=A97)*('MİNİK B ERKEKLER'!$E$6:$E$45="Takım"),'MİNİK B ERKEKLER'!$N$6:$N$45,0),{1,2,3})),0)</f>
        <v/>
      </c>
      <c r="D97" s="36">
        <f>B97+C97</f>
        <v/>
      </c>
      <c r="E97" s="51" t="n">
        <v>0</v>
      </c>
      <c r="F97" s="36">
        <f>IF(A97="","",D97-IFERROR(E97+0,0))</f>
        <v/>
      </c>
      <c r="G97" s="37">
        <f>IF(A97="","-",RANK.EQ(F97,$F$78:$F$97,0))</f>
        <v/>
      </c>
    </row>
    <row r="100" ht="24" customHeight="1">
      <c r="A100" s="49" t="inlineStr">
        <is>
          <t>KÜÇÜK KIZLAR  —  TAKIM SIRALAMASI</t>
        </is>
      </c>
    </row>
    <row r="101" ht="22" customHeight="1">
      <c r="A101" s="27" t="inlineStr">
        <is>
          <t>TAKIM ADI</t>
        </is>
      </c>
      <c r="B101" s="27" t="inlineStr">
        <is>
          <t>En İyi 3
VT</t>
        </is>
      </c>
      <c r="C101" s="27" t="inlineStr">
        <is>
          <t>En İyi 3
UB</t>
        </is>
      </c>
      <c r="D101" s="27" t="inlineStr">
        <is>
          <t>En İyi 3
BB</t>
        </is>
      </c>
      <c r="E101" s="27" t="inlineStr">
        <is>
          <t>En İyi 3
FX</t>
        </is>
      </c>
      <c r="F101" s="27" t="inlineStr">
        <is>
          <t>TOPLAM</t>
        </is>
      </c>
      <c r="G101" s="27" t="inlineStr">
        <is>
          <t>KESİNTİ</t>
        </is>
      </c>
      <c r="H101" s="27" t="inlineStr">
        <is>
          <t>FİNAL PUAN</t>
        </is>
      </c>
      <c r="I101" s="27" t="inlineStr">
        <is>
          <t>SIRALAMA</t>
        </is>
      </c>
    </row>
    <row r="102">
      <c r="A102" s="50" t="n"/>
      <c r="B102" s="33">
        <f>IFERROR(SUMPRODUCT(LARGE(IF(('KÜÇÜK KIZLAR'!$D$6:$D$45=A102)*('KÜÇÜK KIZLAR'!$E$6:$E$45="Takım"),'KÜÇÜK KIZLAR'!$I$6:$I$45,0),{1,2,3})),0)</f>
        <v/>
      </c>
      <c r="C102" s="33">
        <f>IFERROR(SUMPRODUCT(LARGE(IF(('KÜÇÜK KIZLAR'!$D$6:$D$45=A102)*('KÜÇÜK KIZLAR'!$E$6:$E$45="Takım"),'KÜÇÜK KIZLAR'!$N$6:$N$45,0),{1,2,3})),0)</f>
        <v/>
      </c>
      <c r="D102" s="33">
        <f>IFERROR(SUMPRODUCT(LARGE(IF(('KÜÇÜK KIZLAR'!$D$6:$D$45=A102)*('KÜÇÜK KIZLAR'!$E$6:$E$45="Takım"),'KÜÇÜK KIZLAR'!$S$6:$S$45,0),{1,2,3})),0)</f>
        <v/>
      </c>
      <c r="E102" s="33">
        <f>IFERROR(SUMPRODUCT(LARGE(IF(('KÜÇÜK KIZLAR'!$D$6:$D$45=A102)*('KÜÇÜK KIZLAR'!$E$6:$E$45="Takım"),'KÜÇÜK KIZLAR'!$X$6:$X$45,0),{1,2,3})),0)</f>
        <v/>
      </c>
      <c r="F102" s="36">
        <f>B102+C102+D102+E102</f>
        <v/>
      </c>
      <c r="G102" s="51" t="n">
        <v>0</v>
      </c>
      <c r="H102" s="36">
        <f>IF(A102="","",F102-IFERROR(G102+0,0))</f>
        <v/>
      </c>
      <c r="I102" s="37">
        <f>IF(A102="","-",RANK.EQ(H102,$H$102:$H$121,0))</f>
        <v/>
      </c>
    </row>
    <row r="103">
      <c r="A103" s="52" t="n"/>
      <c r="B103" s="53">
        <f>IFERROR(SUMPRODUCT(LARGE(IF(('KÜÇÜK KIZLAR'!$D$6:$D$45=A103)*('KÜÇÜK KIZLAR'!$E$6:$E$45="Takım"),'KÜÇÜK KIZLAR'!$I$6:$I$45,0),{1,2,3})),0)</f>
        <v/>
      </c>
      <c r="C103" s="53">
        <f>IFERROR(SUMPRODUCT(LARGE(IF(('KÜÇÜK KIZLAR'!$D$6:$D$45=A103)*('KÜÇÜK KIZLAR'!$E$6:$E$45="Takım"),'KÜÇÜK KIZLAR'!$N$6:$N$45,0),{1,2,3})),0)</f>
        <v/>
      </c>
      <c r="D103" s="53">
        <f>IFERROR(SUMPRODUCT(LARGE(IF(('KÜÇÜK KIZLAR'!$D$6:$D$45=A103)*('KÜÇÜK KIZLAR'!$E$6:$E$45="Takım"),'KÜÇÜK KIZLAR'!$S$6:$S$45,0),{1,2,3})),0)</f>
        <v/>
      </c>
      <c r="E103" s="53">
        <f>IFERROR(SUMPRODUCT(LARGE(IF(('KÜÇÜK KIZLAR'!$D$6:$D$45=A103)*('KÜÇÜK KIZLAR'!$E$6:$E$45="Takım"),'KÜÇÜK KIZLAR'!$X$6:$X$45,0),{1,2,3})),0)</f>
        <v/>
      </c>
      <c r="F103" s="36">
        <f>B103+C103+D103+E103</f>
        <v/>
      </c>
      <c r="G103" s="51" t="n">
        <v>0</v>
      </c>
      <c r="H103" s="36">
        <f>IF(A103="","",F103-IFERROR(G103+0,0))</f>
        <v/>
      </c>
      <c r="I103" s="37">
        <f>IF(A103="","-",RANK.EQ(H103,$H$102:$H$121,0))</f>
        <v/>
      </c>
    </row>
    <row r="104">
      <c r="A104" s="50" t="n"/>
      <c r="B104" s="33">
        <f>IFERROR(SUMPRODUCT(LARGE(IF(('KÜÇÜK KIZLAR'!$D$6:$D$45=A104)*('KÜÇÜK KIZLAR'!$E$6:$E$45="Takım"),'KÜÇÜK KIZLAR'!$I$6:$I$45,0),{1,2,3})),0)</f>
        <v/>
      </c>
      <c r="C104" s="33">
        <f>IFERROR(SUMPRODUCT(LARGE(IF(('KÜÇÜK KIZLAR'!$D$6:$D$45=A104)*('KÜÇÜK KIZLAR'!$E$6:$E$45="Takım"),'KÜÇÜK KIZLAR'!$N$6:$N$45,0),{1,2,3})),0)</f>
        <v/>
      </c>
      <c r="D104" s="33">
        <f>IFERROR(SUMPRODUCT(LARGE(IF(('KÜÇÜK KIZLAR'!$D$6:$D$45=A104)*('KÜÇÜK KIZLAR'!$E$6:$E$45="Takım"),'KÜÇÜK KIZLAR'!$S$6:$S$45,0),{1,2,3})),0)</f>
        <v/>
      </c>
      <c r="E104" s="33">
        <f>IFERROR(SUMPRODUCT(LARGE(IF(('KÜÇÜK KIZLAR'!$D$6:$D$45=A104)*('KÜÇÜK KIZLAR'!$E$6:$E$45="Takım"),'KÜÇÜK KIZLAR'!$X$6:$X$45,0),{1,2,3})),0)</f>
        <v/>
      </c>
      <c r="F104" s="36">
        <f>B104+C104+D104+E104</f>
        <v/>
      </c>
      <c r="G104" s="51" t="n">
        <v>0</v>
      </c>
      <c r="H104" s="36">
        <f>IF(A104="","",F104-IFERROR(G104+0,0))</f>
        <v/>
      </c>
      <c r="I104" s="37">
        <f>IF(A104="","-",RANK.EQ(H104,$H$102:$H$121,0))</f>
        <v/>
      </c>
    </row>
    <row r="105">
      <c r="A105" s="52" t="n"/>
      <c r="B105" s="53">
        <f>IFERROR(SUMPRODUCT(LARGE(IF(('KÜÇÜK KIZLAR'!$D$6:$D$45=A105)*('KÜÇÜK KIZLAR'!$E$6:$E$45="Takım"),'KÜÇÜK KIZLAR'!$I$6:$I$45,0),{1,2,3})),0)</f>
        <v/>
      </c>
      <c r="C105" s="53">
        <f>IFERROR(SUMPRODUCT(LARGE(IF(('KÜÇÜK KIZLAR'!$D$6:$D$45=A105)*('KÜÇÜK KIZLAR'!$E$6:$E$45="Takım"),'KÜÇÜK KIZLAR'!$N$6:$N$45,0),{1,2,3})),0)</f>
        <v/>
      </c>
      <c r="D105" s="53">
        <f>IFERROR(SUMPRODUCT(LARGE(IF(('KÜÇÜK KIZLAR'!$D$6:$D$45=A105)*('KÜÇÜK KIZLAR'!$E$6:$E$45="Takım"),'KÜÇÜK KIZLAR'!$S$6:$S$45,0),{1,2,3})),0)</f>
        <v/>
      </c>
      <c r="E105" s="53">
        <f>IFERROR(SUMPRODUCT(LARGE(IF(('KÜÇÜK KIZLAR'!$D$6:$D$45=A105)*('KÜÇÜK KIZLAR'!$E$6:$E$45="Takım"),'KÜÇÜK KIZLAR'!$X$6:$X$45,0),{1,2,3})),0)</f>
        <v/>
      </c>
      <c r="F105" s="36">
        <f>B105+C105+D105+E105</f>
        <v/>
      </c>
      <c r="G105" s="51" t="n">
        <v>0</v>
      </c>
      <c r="H105" s="36">
        <f>IF(A105="","",F105-IFERROR(G105+0,0))</f>
        <v/>
      </c>
      <c r="I105" s="37">
        <f>IF(A105="","-",RANK.EQ(H105,$H$102:$H$121,0))</f>
        <v/>
      </c>
    </row>
    <row r="106">
      <c r="A106" s="50" t="n"/>
      <c r="B106" s="33">
        <f>IFERROR(SUMPRODUCT(LARGE(IF(('KÜÇÜK KIZLAR'!$D$6:$D$45=A106)*('KÜÇÜK KIZLAR'!$E$6:$E$45="Takım"),'KÜÇÜK KIZLAR'!$I$6:$I$45,0),{1,2,3})),0)</f>
        <v/>
      </c>
      <c r="C106" s="33">
        <f>IFERROR(SUMPRODUCT(LARGE(IF(('KÜÇÜK KIZLAR'!$D$6:$D$45=A106)*('KÜÇÜK KIZLAR'!$E$6:$E$45="Takım"),'KÜÇÜK KIZLAR'!$N$6:$N$45,0),{1,2,3})),0)</f>
        <v/>
      </c>
      <c r="D106" s="33">
        <f>IFERROR(SUMPRODUCT(LARGE(IF(('KÜÇÜK KIZLAR'!$D$6:$D$45=A106)*('KÜÇÜK KIZLAR'!$E$6:$E$45="Takım"),'KÜÇÜK KIZLAR'!$S$6:$S$45,0),{1,2,3})),0)</f>
        <v/>
      </c>
      <c r="E106" s="33">
        <f>IFERROR(SUMPRODUCT(LARGE(IF(('KÜÇÜK KIZLAR'!$D$6:$D$45=A106)*('KÜÇÜK KIZLAR'!$E$6:$E$45="Takım"),'KÜÇÜK KIZLAR'!$X$6:$X$45,0),{1,2,3})),0)</f>
        <v/>
      </c>
      <c r="F106" s="36">
        <f>B106+C106+D106+E106</f>
        <v/>
      </c>
      <c r="G106" s="51" t="n">
        <v>0</v>
      </c>
      <c r="H106" s="36">
        <f>IF(A106="","",F106-IFERROR(G106+0,0))</f>
        <v/>
      </c>
      <c r="I106" s="37">
        <f>IF(A106="","-",RANK.EQ(H106,$H$102:$H$121,0))</f>
        <v/>
      </c>
    </row>
    <row r="107">
      <c r="A107" s="52" t="n"/>
      <c r="B107" s="53">
        <f>IFERROR(SUMPRODUCT(LARGE(IF(('KÜÇÜK KIZLAR'!$D$6:$D$45=A107)*('KÜÇÜK KIZLAR'!$E$6:$E$45="Takım"),'KÜÇÜK KIZLAR'!$I$6:$I$45,0),{1,2,3})),0)</f>
        <v/>
      </c>
      <c r="C107" s="53">
        <f>IFERROR(SUMPRODUCT(LARGE(IF(('KÜÇÜK KIZLAR'!$D$6:$D$45=A107)*('KÜÇÜK KIZLAR'!$E$6:$E$45="Takım"),'KÜÇÜK KIZLAR'!$N$6:$N$45,0),{1,2,3})),0)</f>
        <v/>
      </c>
      <c r="D107" s="53">
        <f>IFERROR(SUMPRODUCT(LARGE(IF(('KÜÇÜK KIZLAR'!$D$6:$D$45=A107)*('KÜÇÜK KIZLAR'!$E$6:$E$45="Takım"),'KÜÇÜK KIZLAR'!$S$6:$S$45,0),{1,2,3})),0)</f>
        <v/>
      </c>
      <c r="E107" s="53">
        <f>IFERROR(SUMPRODUCT(LARGE(IF(('KÜÇÜK KIZLAR'!$D$6:$D$45=A107)*('KÜÇÜK KIZLAR'!$E$6:$E$45="Takım"),'KÜÇÜK KIZLAR'!$X$6:$X$45,0),{1,2,3})),0)</f>
        <v/>
      </c>
      <c r="F107" s="36">
        <f>B107+C107+D107+E107</f>
        <v/>
      </c>
      <c r="G107" s="51" t="n">
        <v>0</v>
      </c>
      <c r="H107" s="36">
        <f>IF(A107="","",F107-IFERROR(G107+0,0))</f>
        <v/>
      </c>
      <c r="I107" s="37">
        <f>IF(A107="","-",RANK.EQ(H107,$H$102:$H$121,0))</f>
        <v/>
      </c>
    </row>
    <row r="108">
      <c r="A108" s="50" t="n"/>
      <c r="B108" s="33">
        <f>IFERROR(SUMPRODUCT(LARGE(IF(('KÜÇÜK KIZLAR'!$D$6:$D$45=A108)*('KÜÇÜK KIZLAR'!$E$6:$E$45="Takım"),'KÜÇÜK KIZLAR'!$I$6:$I$45,0),{1,2,3})),0)</f>
        <v/>
      </c>
      <c r="C108" s="33">
        <f>IFERROR(SUMPRODUCT(LARGE(IF(('KÜÇÜK KIZLAR'!$D$6:$D$45=A108)*('KÜÇÜK KIZLAR'!$E$6:$E$45="Takım"),'KÜÇÜK KIZLAR'!$N$6:$N$45,0),{1,2,3})),0)</f>
        <v/>
      </c>
      <c r="D108" s="33">
        <f>IFERROR(SUMPRODUCT(LARGE(IF(('KÜÇÜK KIZLAR'!$D$6:$D$45=A108)*('KÜÇÜK KIZLAR'!$E$6:$E$45="Takım"),'KÜÇÜK KIZLAR'!$S$6:$S$45,0),{1,2,3})),0)</f>
        <v/>
      </c>
      <c r="E108" s="33">
        <f>IFERROR(SUMPRODUCT(LARGE(IF(('KÜÇÜK KIZLAR'!$D$6:$D$45=A108)*('KÜÇÜK KIZLAR'!$E$6:$E$45="Takım"),'KÜÇÜK KIZLAR'!$X$6:$X$45,0),{1,2,3})),0)</f>
        <v/>
      </c>
      <c r="F108" s="36">
        <f>B108+C108+D108+E108</f>
        <v/>
      </c>
      <c r="G108" s="51" t="n">
        <v>0</v>
      </c>
      <c r="H108" s="36">
        <f>IF(A108="","",F108-IFERROR(G108+0,0))</f>
        <v/>
      </c>
      <c r="I108" s="37">
        <f>IF(A108="","-",RANK.EQ(H108,$H$102:$H$121,0))</f>
        <v/>
      </c>
    </row>
    <row r="109">
      <c r="A109" s="52" t="n"/>
      <c r="B109" s="53">
        <f>IFERROR(SUMPRODUCT(LARGE(IF(('KÜÇÜK KIZLAR'!$D$6:$D$45=A109)*('KÜÇÜK KIZLAR'!$E$6:$E$45="Takım"),'KÜÇÜK KIZLAR'!$I$6:$I$45,0),{1,2,3})),0)</f>
        <v/>
      </c>
      <c r="C109" s="53">
        <f>IFERROR(SUMPRODUCT(LARGE(IF(('KÜÇÜK KIZLAR'!$D$6:$D$45=A109)*('KÜÇÜK KIZLAR'!$E$6:$E$45="Takım"),'KÜÇÜK KIZLAR'!$N$6:$N$45,0),{1,2,3})),0)</f>
        <v/>
      </c>
      <c r="D109" s="53">
        <f>IFERROR(SUMPRODUCT(LARGE(IF(('KÜÇÜK KIZLAR'!$D$6:$D$45=A109)*('KÜÇÜK KIZLAR'!$E$6:$E$45="Takım"),'KÜÇÜK KIZLAR'!$S$6:$S$45,0),{1,2,3})),0)</f>
        <v/>
      </c>
      <c r="E109" s="53">
        <f>IFERROR(SUMPRODUCT(LARGE(IF(('KÜÇÜK KIZLAR'!$D$6:$D$45=A109)*('KÜÇÜK KIZLAR'!$E$6:$E$45="Takım"),'KÜÇÜK KIZLAR'!$X$6:$X$45,0),{1,2,3})),0)</f>
        <v/>
      </c>
      <c r="F109" s="36">
        <f>B109+C109+D109+E109</f>
        <v/>
      </c>
      <c r="G109" s="51" t="n">
        <v>0</v>
      </c>
      <c r="H109" s="36">
        <f>IF(A109="","",F109-IFERROR(G109+0,0))</f>
        <v/>
      </c>
      <c r="I109" s="37">
        <f>IF(A109="","-",RANK.EQ(H109,$H$102:$H$121,0))</f>
        <v/>
      </c>
    </row>
    <row r="110">
      <c r="A110" s="50" t="n"/>
      <c r="B110" s="33">
        <f>IFERROR(SUMPRODUCT(LARGE(IF(('KÜÇÜK KIZLAR'!$D$6:$D$45=A110)*('KÜÇÜK KIZLAR'!$E$6:$E$45="Takım"),'KÜÇÜK KIZLAR'!$I$6:$I$45,0),{1,2,3})),0)</f>
        <v/>
      </c>
      <c r="C110" s="33">
        <f>IFERROR(SUMPRODUCT(LARGE(IF(('KÜÇÜK KIZLAR'!$D$6:$D$45=A110)*('KÜÇÜK KIZLAR'!$E$6:$E$45="Takım"),'KÜÇÜK KIZLAR'!$N$6:$N$45,0),{1,2,3})),0)</f>
        <v/>
      </c>
      <c r="D110" s="33">
        <f>IFERROR(SUMPRODUCT(LARGE(IF(('KÜÇÜK KIZLAR'!$D$6:$D$45=A110)*('KÜÇÜK KIZLAR'!$E$6:$E$45="Takım"),'KÜÇÜK KIZLAR'!$S$6:$S$45,0),{1,2,3})),0)</f>
        <v/>
      </c>
      <c r="E110" s="33">
        <f>IFERROR(SUMPRODUCT(LARGE(IF(('KÜÇÜK KIZLAR'!$D$6:$D$45=A110)*('KÜÇÜK KIZLAR'!$E$6:$E$45="Takım"),'KÜÇÜK KIZLAR'!$X$6:$X$45,0),{1,2,3})),0)</f>
        <v/>
      </c>
      <c r="F110" s="36">
        <f>B110+C110+D110+E110</f>
        <v/>
      </c>
      <c r="G110" s="51" t="n">
        <v>0</v>
      </c>
      <c r="H110" s="36">
        <f>IF(A110="","",F110-IFERROR(G110+0,0))</f>
        <v/>
      </c>
      <c r="I110" s="37">
        <f>IF(A110="","-",RANK.EQ(H110,$H$102:$H$121,0))</f>
        <v/>
      </c>
    </row>
    <row r="111">
      <c r="A111" s="52" t="n"/>
      <c r="B111" s="53">
        <f>IFERROR(SUMPRODUCT(LARGE(IF(('KÜÇÜK KIZLAR'!$D$6:$D$45=A111)*('KÜÇÜK KIZLAR'!$E$6:$E$45="Takım"),'KÜÇÜK KIZLAR'!$I$6:$I$45,0),{1,2,3})),0)</f>
        <v/>
      </c>
      <c r="C111" s="53">
        <f>IFERROR(SUMPRODUCT(LARGE(IF(('KÜÇÜK KIZLAR'!$D$6:$D$45=A111)*('KÜÇÜK KIZLAR'!$E$6:$E$45="Takım"),'KÜÇÜK KIZLAR'!$N$6:$N$45,0),{1,2,3})),0)</f>
        <v/>
      </c>
      <c r="D111" s="53">
        <f>IFERROR(SUMPRODUCT(LARGE(IF(('KÜÇÜK KIZLAR'!$D$6:$D$45=A111)*('KÜÇÜK KIZLAR'!$E$6:$E$45="Takım"),'KÜÇÜK KIZLAR'!$S$6:$S$45,0),{1,2,3})),0)</f>
        <v/>
      </c>
      <c r="E111" s="53">
        <f>IFERROR(SUMPRODUCT(LARGE(IF(('KÜÇÜK KIZLAR'!$D$6:$D$45=A111)*('KÜÇÜK KIZLAR'!$E$6:$E$45="Takım"),'KÜÇÜK KIZLAR'!$X$6:$X$45,0),{1,2,3})),0)</f>
        <v/>
      </c>
      <c r="F111" s="36">
        <f>B111+C111+D111+E111</f>
        <v/>
      </c>
      <c r="G111" s="51" t="n">
        <v>0</v>
      </c>
      <c r="H111" s="36">
        <f>IF(A111="","",F111-IFERROR(G111+0,0))</f>
        <v/>
      </c>
      <c r="I111" s="37">
        <f>IF(A111="","-",RANK.EQ(H111,$H$102:$H$121,0))</f>
        <v/>
      </c>
    </row>
    <row r="112">
      <c r="A112" s="50" t="n"/>
      <c r="B112" s="33">
        <f>IFERROR(SUMPRODUCT(LARGE(IF(('KÜÇÜK KIZLAR'!$D$6:$D$45=A112)*('KÜÇÜK KIZLAR'!$E$6:$E$45="Takım"),'KÜÇÜK KIZLAR'!$I$6:$I$45,0),{1,2,3})),0)</f>
        <v/>
      </c>
      <c r="C112" s="33">
        <f>IFERROR(SUMPRODUCT(LARGE(IF(('KÜÇÜK KIZLAR'!$D$6:$D$45=A112)*('KÜÇÜK KIZLAR'!$E$6:$E$45="Takım"),'KÜÇÜK KIZLAR'!$N$6:$N$45,0),{1,2,3})),0)</f>
        <v/>
      </c>
      <c r="D112" s="33">
        <f>IFERROR(SUMPRODUCT(LARGE(IF(('KÜÇÜK KIZLAR'!$D$6:$D$45=A112)*('KÜÇÜK KIZLAR'!$E$6:$E$45="Takım"),'KÜÇÜK KIZLAR'!$S$6:$S$45,0),{1,2,3})),0)</f>
        <v/>
      </c>
      <c r="E112" s="33">
        <f>IFERROR(SUMPRODUCT(LARGE(IF(('KÜÇÜK KIZLAR'!$D$6:$D$45=A112)*('KÜÇÜK KIZLAR'!$E$6:$E$45="Takım"),'KÜÇÜK KIZLAR'!$X$6:$X$45,0),{1,2,3})),0)</f>
        <v/>
      </c>
      <c r="F112" s="36">
        <f>B112+C112+D112+E112</f>
        <v/>
      </c>
      <c r="G112" s="51" t="n">
        <v>0</v>
      </c>
      <c r="H112" s="36">
        <f>IF(A112="","",F112-IFERROR(G112+0,0))</f>
        <v/>
      </c>
      <c r="I112" s="37">
        <f>IF(A112="","-",RANK.EQ(H112,$H$102:$H$121,0))</f>
        <v/>
      </c>
    </row>
    <row r="113">
      <c r="A113" s="52" t="n"/>
      <c r="B113" s="53">
        <f>IFERROR(SUMPRODUCT(LARGE(IF(('KÜÇÜK KIZLAR'!$D$6:$D$45=A113)*('KÜÇÜK KIZLAR'!$E$6:$E$45="Takım"),'KÜÇÜK KIZLAR'!$I$6:$I$45,0),{1,2,3})),0)</f>
        <v/>
      </c>
      <c r="C113" s="53">
        <f>IFERROR(SUMPRODUCT(LARGE(IF(('KÜÇÜK KIZLAR'!$D$6:$D$45=A113)*('KÜÇÜK KIZLAR'!$E$6:$E$45="Takım"),'KÜÇÜK KIZLAR'!$N$6:$N$45,0),{1,2,3})),0)</f>
        <v/>
      </c>
      <c r="D113" s="53">
        <f>IFERROR(SUMPRODUCT(LARGE(IF(('KÜÇÜK KIZLAR'!$D$6:$D$45=A113)*('KÜÇÜK KIZLAR'!$E$6:$E$45="Takım"),'KÜÇÜK KIZLAR'!$S$6:$S$45,0),{1,2,3})),0)</f>
        <v/>
      </c>
      <c r="E113" s="53">
        <f>IFERROR(SUMPRODUCT(LARGE(IF(('KÜÇÜK KIZLAR'!$D$6:$D$45=A113)*('KÜÇÜK KIZLAR'!$E$6:$E$45="Takım"),'KÜÇÜK KIZLAR'!$X$6:$X$45,0),{1,2,3})),0)</f>
        <v/>
      </c>
      <c r="F113" s="36">
        <f>B113+C113+D113+E113</f>
        <v/>
      </c>
      <c r="G113" s="51" t="n">
        <v>0</v>
      </c>
      <c r="H113" s="36">
        <f>IF(A113="","",F113-IFERROR(G113+0,0))</f>
        <v/>
      </c>
      <c r="I113" s="37">
        <f>IF(A113="","-",RANK.EQ(H113,$H$102:$H$121,0))</f>
        <v/>
      </c>
    </row>
    <row r="114">
      <c r="A114" s="50" t="n"/>
      <c r="B114" s="33">
        <f>IFERROR(SUMPRODUCT(LARGE(IF(('KÜÇÜK KIZLAR'!$D$6:$D$45=A114)*('KÜÇÜK KIZLAR'!$E$6:$E$45="Takım"),'KÜÇÜK KIZLAR'!$I$6:$I$45,0),{1,2,3})),0)</f>
        <v/>
      </c>
      <c r="C114" s="33">
        <f>IFERROR(SUMPRODUCT(LARGE(IF(('KÜÇÜK KIZLAR'!$D$6:$D$45=A114)*('KÜÇÜK KIZLAR'!$E$6:$E$45="Takım"),'KÜÇÜK KIZLAR'!$N$6:$N$45,0),{1,2,3})),0)</f>
        <v/>
      </c>
      <c r="D114" s="33">
        <f>IFERROR(SUMPRODUCT(LARGE(IF(('KÜÇÜK KIZLAR'!$D$6:$D$45=A114)*('KÜÇÜK KIZLAR'!$E$6:$E$45="Takım"),'KÜÇÜK KIZLAR'!$S$6:$S$45,0),{1,2,3})),0)</f>
        <v/>
      </c>
      <c r="E114" s="33">
        <f>IFERROR(SUMPRODUCT(LARGE(IF(('KÜÇÜK KIZLAR'!$D$6:$D$45=A114)*('KÜÇÜK KIZLAR'!$E$6:$E$45="Takım"),'KÜÇÜK KIZLAR'!$X$6:$X$45,0),{1,2,3})),0)</f>
        <v/>
      </c>
      <c r="F114" s="36">
        <f>B114+C114+D114+E114</f>
        <v/>
      </c>
      <c r="G114" s="51" t="n">
        <v>0</v>
      </c>
      <c r="H114" s="36">
        <f>IF(A114="","",F114-IFERROR(G114+0,0))</f>
        <v/>
      </c>
      <c r="I114" s="37">
        <f>IF(A114="","-",RANK.EQ(H114,$H$102:$H$121,0))</f>
        <v/>
      </c>
    </row>
    <row r="115">
      <c r="A115" s="52" t="n"/>
      <c r="B115" s="53">
        <f>IFERROR(SUMPRODUCT(LARGE(IF(('KÜÇÜK KIZLAR'!$D$6:$D$45=A115)*('KÜÇÜK KIZLAR'!$E$6:$E$45="Takım"),'KÜÇÜK KIZLAR'!$I$6:$I$45,0),{1,2,3})),0)</f>
        <v/>
      </c>
      <c r="C115" s="53">
        <f>IFERROR(SUMPRODUCT(LARGE(IF(('KÜÇÜK KIZLAR'!$D$6:$D$45=A115)*('KÜÇÜK KIZLAR'!$E$6:$E$45="Takım"),'KÜÇÜK KIZLAR'!$N$6:$N$45,0),{1,2,3})),0)</f>
        <v/>
      </c>
      <c r="D115" s="53">
        <f>IFERROR(SUMPRODUCT(LARGE(IF(('KÜÇÜK KIZLAR'!$D$6:$D$45=A115)*('KÜÇÜK KIZLAR'!$E$6:$E$45="Takım"),'KÜÇÜK KIZLAR'!$S$6:$S$45,0),{1,2,3})),0)</f>
        <v/>
      </c>
      <c r="E115" s="53">
        <f>IFERROR(SUMPRODUCT(LARGE(IF(('KÜÇÜK KIZLAR'!$D$6:$D$45=A115)*('KÜÇÜK KIZLAR'!$E$6:$E$45="Takım"),'KÜÇÜK KIZLAR'!$X$6:$X$45,0),{1,2,3})),0)</f>
        <v/>
      </c>
      <c r="F115" s="36">
        <f>B115+C115+D115+E115</f>
        <v/>
      </c>
      <c r="G115" s="51" t="n">
        <v>0</v>
      </c>
      <c r="H115" s="36">
        <f>IF(A115="","",F115-IFERROR(G115+0,0))</f>
        <v/>
      </c>
      <c r="I115" s="37">
        <f>IF(A115="","-",RANK.EQ(H115,$H$102:$H$121,0))</f>
        <v/>
      </c>
    </row>
    <row r="116">
      <c r="A116" s="50" t="n"/>
      <c r="B116" s="33">
        <f>IFERROR(SUMPRODUCT(LARGE(IF(('KÜÇÜK KIZLAR'!$D$6:$D$45=A116)*('KÜÇÜK KIZLAR'!$E$6:$E$45="Takım"),'KÜÇÜK KIZLAR'!$I$6:$I$45,0),{1,2,3})),0)</f>
        <v/>
      </c>
      <c r="C116" s="33">
        <f>IFERROR(SUMPRODUCT(LARGE(IF(('KÜÇÜK KIZLAR'!$D$6:$D$45=A116)*('KÜÇÜK KIZLAR'!$E$6:$E$45="Takım"),'KÜÇÜK KIZLAR'!$N$6:$N$45,0),{1,2,3})),0)</f>
        <v/>
      </c>
      <c r="D116" s="33">
        <f>IFERROR(SUMPRODUCT(LARGE(IF(('KÜÇÜK KIZLAR'!$D$6:$D$45=A116)*('KÜÇÜK KIZLAR'!$E$6:$E$45="Takım"),'KÜÇÜK KIZLAR'!$S$6:$S$45,0),{1,2,3})),0)</f>
        <v/>
      </c>
      <c r="E116" s="33">
        <f>IFERROR(SUMPRODUCT(LARGE(IF(('KÜÇÜK KIZLAR'!$D$6:$D$45=A116)*('KÜÇÜK KIZLAR'!$E$6:$E$45="Takım"),'KÜÇÜK KIZLAR'!$X$6:$X$45,0),{1,2,3})),0)</f>
        <v/>
      </c>
      <c r="F116" s="36">
        <f>B116+C116+D116+E116</f>
        <v/>
      </c>
      <c r="G116" s="51" t="n">
        <v>0</v>
      </c>
      <c r="H116" s="36">
        <f>IF(A116="","",F116-IFERROR(G116+0,0))</f>
        <v/>
      </c>
      <c r="I116" s="37">
        <f>IF(A116="","-",RANK.EQ(H116,$H$102:$H$121,0))</f>
        <v/>
      </c>
    </row>
    <row r="117">
      <c r="A117" s="52" t="n"/>
      <c r="B117" s="53">
        <f>IFERROR(SUMPRODUCT(LARGE(IF(('KÜÇÜK KIZLAR'!$D$6:$D$45=A117)*('KÜÇÜK KIZLAR'!$E$6:$E$45="Takım"),'KÜÇÜK KIZLAR'!$I$6:$I$45,0),{1,2,3})),0)</f>
        <v/>
      </c>
      <c r="C117" s="53">
        <f>IFERROR(SUMPRODUCT(LARGE(IF(('KÜÇÜK KIZLAR'!$D$6:$D$45=A117)*('KÜÇÜK KIZLAR'!$E$6:$E$45="Takım"),'KÜÇÜK KIZLAR'!$N$6:$N$45,0),{1,2,3})),0)</f>
        <v/>
      </c>
      <c r="D117" s="53">
        <f>IFERROR(SUMPRODUCT(LARGE(IF(('KÜÇÜK KIZLAR'!$D$6:$D$45=A117)*('KÜÇÜK KIZLAR'!$E$6:$E$45="Takım"),'KÜÇÜK KIZLAR'!$S$6:$S$45,0),{1,2,3})),0)</f>
        <v/>
      </c>
      <c r="E117" s="53">
        <f>IFERROR(SUMPRODUCT(LARGE(IF(('KÜÇÜK KIZLAR'!$D$6:$D$45=A117)*('KÜÇÜK KIZLAR'!$E$6:$E$45="Takım"),'KÜÇÜK KIZLAR'!$X$6:$X$45,0),{1,2,3})),0)</f>
        <v/>
      </c>
      <c r="F117" s="36">
        <f>B117+C117+D117+E117</f>
        <v/>
      </c>
      <c r="G117" s="51" t="n">
        <v>0</v>
      </c>
      <c r="H117" s="36">
        <f>IF(A117="","",F117-IFERROR(G117+0,0))</f>
        <v/>
      </c>
      <c r="I117" s="37">
        <f>IF(A117="","-",RANK.EQ(H117,$H$102:$H$121,0))</f>
        <v/>
      </c>
    </row>
    <row r="118">
      <c r="A118" s="50" t="n"/>
      <c r="B118" s="33">
        <f>IFERROR(SUMPRODUCT(LARGE(IF(('KÜÇÜK KIZLAR'!$D$6:$D$45=A118)*('KÜÇÜK KIZLAR'!$E$6:$E$45="Takım"),'KÜÇÜK KIZLAR'!$I$6:$I$45,0),{1,2,3})),0)</f>
        <v/>
      </c>
      <c r="C118" s="33">
        <f>IFERROR(SUMPRODUCT(LARGE(IF(('KÜÇÜK KIZLAR'!$D$6:$D$45=A118)*('KÜÇÜK KIZLAR'!$E$6:$E$45="Takım"),'KÜÇÜK KIZLAR'!$N$6:$N$45,0),{1,2,3})),0)</f>
        <v/>
      </c>
      <c r="D118" s="33">
        <f>IFERROR(SUMPRODUCT(LARGE(IF(('KÜÇÜK KIZLAR'!$D$6:$D$45=A118)*('KÜÇÜK KIZLAR'!$E$6:$E$45="Takım"),'KÜÇÜK KIZLAR'!$S$6:$S$45,0),{1,2,3})),0)</f>
        <v/>
      </c>
      <c r="E118" s="33">
        <f>IFERROR(SUMPRODUCT(LARGE(IF(('KÜÇÜK KIZLAR'!$D$6:$D$45=A118)*('KÜÇÜK KIZLAR'!$E$6:$E$45="Takım"),'KÜÇÜK KIZLAR'!$X$6:$X$45,0),{1,2,3})),0)</f>
        <v/>
      </c>
      <c r="F118" s="36">
        <f>B118+C118+D118+E118</f>
        <v/>
      </c>
      <c r="G118" s="51" t="n">
        <v>0</v>
      </c>
      <c r="H118" s="36">
        <f>IF(A118="","",F118-IFERROR(G118+0,0))</f>
        <v/>
      </c>
      <c r="I118" s="37">
        <f>IF(A118="","-",RANK.EQ(H118,$H$102:$H$121,0))</f>
        <v/>
      </c>
    </row>
    <row r="119">
      <c r="A119" s="52" t="n"/>
      <c r="B119" s="53">
        <f>IFERROR(SUMPRODUCT(LARGE(IF(('KÜÇÜK KIZLAR'!$D$6:$D$45=A119)*('KÜÇÜK KIZLAR'!$E$6:$E$45="Takım"),'KÜÇÜK KIZLAR'!$I$6:$I$45,0),{1,2,3})),0)</f>
        <v/>
      </c>
      <c r="C119" s="53">
        <f>IFERROR(SUMPRODUCT(LARGE(IF(('KÜÇÜK KIZLAR'!$D$6:$D$45=A119)*('KÜÇÜK KIZLAR'!$E$6:$E$45="Takım"),'KÜÇÜK KIZLAR'!$N$6:$N$45,0),{1,2,3})),0)</f>
        <v/>
      </c>
      <c r="D119" s="53">
        <f>IFERROR(SUMPRODUCT(LARGE(IF(('KÜÇÜK KIZLAR'!$D$6:$D$45=A119)*('KÜÇÜK KIZLAR'!$E$6:$E$45="Takım"),'KÜÇÜK KIZLAR'!$S$6:$S$45,0),{1,2,3})),0)</f>
        <v/>
      </c>
      <c r="E119" s="53">
        <f>IFERROR(SUMPRODUCT(LARGE(IF(('KÜÇÜK KIZLAR'!$D$6:$D$45=A119)*('KÜÇÜK KIZLAR'!$E$6:$E$45="Takım"),'KÜÇÜK KIZLAR'!$X$6:$X$45,0),{1,2,3})),0)</f>
        <v/>
      </c>
      <c r="F119" s="36">
        <f>B119+C119+D119+E119</f>
        <v/>
      </c>
      <c r="G119" s="51" t="n">
        <v>0</v>
      </c>
      <c r="H119" s="36">
        <f>IF(A119="","",F119-IFERROR(G119+0,0))</f>
        <v/>
      </c>
      <c r="I119" s="37">
        <f>IF(A119="","-",RANK.EQ(H119,$H$102:$H$121,0))</f>
        <v/>
      </c>
    </row>
    <row r="120">
      <c r="A120" s="50" t="n"/>
      <c r="B120" s="33">
        <f>IFERROR(SUMPRODUCT(LARGE(IF(('KÜÇÜK KIZLAR'!$D$6:$D$45=A120)*('KÜÇÜK KIZLAR'!$E$6:$E$45="Takım"),'KÜÇÜK KIZLAR'!$I$6:$I$45,0),{1,2,3})),0)</f>
        <v/>
      </c>
      <c r="C120" s="33">
        <f>IFERROR(SUMPRODUCT(LARGE(IF(('KÜÇÜK KIZLAR'!$D$6:$D$45=A120)*('KÜÇÜK KIZLAR'!$E$6:$E$45="Takım"),'KÜÇÜK KIZLAR'!$N$6:$N$45,0),{1,2,3})),0)</f>
        <v/>
      </c>
      <c r="D120" s="33">
        <f>IFERROR(SUMPRODUCT(LARGE(IF(('KÜÇÜK KIZLAR'!$D$6:$D$45=A120)*('KÜÇÜK KIZLAR'!$E$6:$E$45="Takım"),'KÜÇÜK KIZLAR'!$S$6:$S$45,0),{1,2,3})),0)</f>
        <v/>
      </c>
      <c r="E120" s="33">
        <f>IFERROR(SUMPRODUCT(LARGE(IF(('KÜÇÜK KIZLAR'!$D$6:$D$45=A120)*('KÜÇÜK KIZLAR'!$E$6:$E$45="Takım"),'KÜÇÜK KIZLAR'!$X$6:$X$45,0),{1,2,3})),0)</f>
        <v/>
      </c>
      <c r="F120" s="36">
        <f>B120+C120+D120+E120</f>
        <v/>
      </c>
      <c r="G120" s="51" t="n">
        <v>0</v>
      </c>
      <c r="H120" s="36">
        <f>IF(A120="","",F120-IFERROR(G120+0,0))</f>
        <v/>
      </c>
      <c r="I120" s="37">
        <f>IF(A120="","-",RANK.EQ(H120,$H$102:$H$121,0))</f>
        <v/>
      </c>
    </row>
    <row r="121">
      <c r="A121" s="52" t="n"/>
      <c r="B121" s="53">
        <f>IFERROR(SUMPRODUCT(LARGE(IF(('KÜÇÜK KIZLAR'!$D$6:$D$45=A121)*('KÜÇÜK KIZLAR'!$E$6:$E$45="Takım"),'KÜÇÜK KIZLAR'!$I$6:$I$45,0),{1,2,3})),0)</f>
        <v/>
      </c>
      <c r="C121" s="53">
        <f>IFERROR(SUMPRODUCT(LARGE(IF(('KÜÇÜK KIZLAR'!$D$6:$D$45=A121)*('KÜÇÜK KIZLAR'!$E$6:$E$45="Takım"),'KÜÇÜK KIZLAR'!$N$6:$N$45,0),{1,2,3})),0)</f>
        <v/>
      </c>
      <c r="D121" s="53">
        <f>IFERROR(SUMPRODUCT(LARGE(IF(('KÜÇÜK KIZLAR'!$D$6:$D$45=A121)*('KÜÇÜK KIZLAR'!$E$6:$E$45="Takım"),'KÜÇÜK KIZLAR'!$S$6:$S$45,0),{1,2,3})),0)</f>
        <v/>
      </c>
      <c r="E121" s="53">
        <f>IFERROR(SUMPRODUCT(LARGE(IF(('KÜÇÜK KIZLAR'!$D$6:$D$45=A121)*('KÜÇÜK KIZLAR'!$E$6:$E$45="Takım"),'KÜÇÜK KIZLAR'!$X$6:$X$45,0),{1,2,3})),0)</f>
        <v/>
      </c>
      <c r="F121" s="36">
        <f>B121+C121+D121+E121</f>
        <v/>
      </c>
      <c r="G121" s="51" t="n">
        <v>0</v>
      </c>
      <c r="H121" s="36">
        <f>IF(A121="","",F121-IFERROR(G121+0,0))</f>
        <v/>
      </c>
      <c r="I121" s="37">
        <f>IF(A121="","-",RANK.EQ(H121,$H$102:$H$121,0))</f>
        <v/>
      </c>
    </row>
    <row r="124" ht="24" customHeight="1">
      <c r="A124" s="54" t="inlineStr">
        <is>
          <t>KÜÇÜK ERKEKLER  —  TAKIM SIRALAMASI</t>
        </is>
      </c>
    </row>
    <row r="125" ht="22" customHeight="1">
      <c r="A125" s="27" t="inlineStr">
        <is>
          <t>TAKIM ADI</t>
        </is>
      </c>
      <c r="B125" s="27" t="inlineStr">
        <is>
          <t>En İyi 3
FX</t>
        </is>
      </c>
      <c r="C125" s="27" t="inlineStr">
        <is>
          <t>En İyi 3
VT</t>
        </is>
      </c>
      <c r="D125" s="27" t="inlineStr">
        <is>
          <t>En İyi 3
PB</t>
        </is>
      </c>
      <c r="E125" s="27" t="inlineStr">
        <is>
          <t>En İyi 3
HB</t>
        </is>
      </c>
      <c r="F125" s="27" t="inlineStr">
        <is>
          <t>TOPLAM</t>
        </is>
      </c>
      <c r="G125" s="27" t="inlineStr">
        <is>
          <t>KESİNTİ</t>
        </is>
      </c>
      <c r="H125" s="27" t="inlineStr">
        <is>
          <t>FİNAL PUAN</t>
        </is>
      </c>
      <c r="I125" s="27" t="inlineStr">
        <is>
          <t>SIRALAMA</t>
        </is>
      </c>
    </row>
    <row r="126">
      <c r="A126" s="50" t="n"/>
      <c r="B126" s="33">
        <f>IFERROR(SUMPRODUCT(LARGE(IF(('KÜÇÜK ERKEKLER'!$D$6:$D$45=A126)*('KÜÇÜK ERKEKLER'!$E$6:$E$45="Takım"),'KÜÇÜK ERKEKLER'!$I$6:$I$45,0),{1,2,3})),0)</f>
        <v/>
      </c>
      <c r="C126" s="33">
        <f>IFERROR(SUMPRODUCT(LARGE(IF(('KÜÇÜK ERKEKLER'!$D$6:$D$45=A126)*('KÜÇÜK ERKEKLER'!$E$6:$E$45="Takım"),'KÜÇÜK ERKEKLER'!$N$6:$N$45,0),{1,2,3})),0)</f>
        <v/>
      </c>
      <c r="D126" s="33">
        <f>IFERROR(SUMPRODUCT(LARGE(IF(('KÜÇÜK ERKEKLER'!$D$6:$D$45=A126)*('KÜÇÜK ERKEKLER'!$E$6:$E$45="Takım"),'KÜÇÜK ERKEKLER'!$S$6:$S$45,0),{1,2,3})),0)</f>
        <v/>
      </c>
      <c r="E126" s="33">
        <f>IFERROR(SUMPRODUCT(LARGE(IF(('KÜÇÜK ERKEKLER'!$D$6:$D$45=A126)*('KÜÇÜK ERKEKLER'!$E$6:$E$45="Takım"),'KÜÇÜK ERKEKLER'!$X$6:$X$45,0),{1,2,3})),0)</f>
        <v/>
      </c>
      <c r="F126" s="36">
        <f>B126+C126+D126+E126</f>
        <v/>
      </c>
      <c r="G126" s="51" t="n">
        <v>0</v>
      </c>
      <c r="H126" s="36">
        <f>IF(A126="","",F126-IFERROR(G126+0,0))</f>
        <v/>
      </c>
      <c r="I126" s="37">
        <f>IF(A126="","-",RANK.EQ(H126,$H$126:$H$145,0))</f>
        <v/>
      </c>
    </row>
    <row r="127">
      <c r="A127" s="52" t="n"/>
      <c r="B127" s="53">
        <f>IFERROR(SUMPRODUCT(LARGE(IF(('KÜÇÜK ERKEKLER'!$D$6:$D$45=A127)*('KÜÇÜK ERKEKLER'!$E$6:$E$45="Takım"),'KÜÇÜK ERKEKLER'!$I$6:$I$45,0),{1,2,3})),0)</f>
        <v/>
      </c>
      <c r="C127" s="53">
        <f>IFERROR(SUMPRODUCT(LARGE(IF(('KÜÇÜK ERKEKLER'!$D$6:$D$45=A127)*('KÜÇÜK ERKEKLER'!$E$6:$E$45="Takım"),'KÜÇÜK ERKEKLER'!$N$6:$N$45,0),{1,2,3})),0)</f>
        <v/>
      </c>
      <c r="D127" s="53">
        <f>IFERROR(SUMPRODUCT(LARGE(IF(('KÜÇÜK ERKEKLER'!$D$6:$D$45=A127)*('KÜÇÜK ERKEKLER'!$E$6:$E$45="Takım"),'KÜÇÜK ERKEKLER'!$S$6:$S$45,0),{1,2,3})),0)</f>
        <v/>
      </c>
      <c r="E127" s="53">
        <f>IFERROR(SUMPRODUCT(LARGE(IF(('KÜÇÜK ERKEKLER'!$D$6:$D$45=A127)*('KÜÇÜK ERKEKLER'!$E$6:$E$45="Takım"),'KÜÇÜK ERKEKLER'!$X$6:$X$45,0),{1,2,3})),0)</f>
        <v/>
      </c>
      <c r="F127" s="36">
        <f>B127+C127+D127+E127</f>
        <v/>
      </c>
      <c r="G127" s="51" t="n">
        <v>0</v>
      </c>
      <c r="H127" s="36">
        <f>IF(A127="","",F127-IFERROR(G127+0,0))</f>
        <v/>
      </c>
      <c r="I127" s="37">
        <f>IF(A127="","-",RANK.EQ(H127,$H$126:$H$145,0))</f>
        <v/>
      </c>
    </row>
    <row r="128">
      <c r="A128" s="50" t="n"/>
      <c r="B128" s="33">
        <f>IFERROR(SUMPRODUCT(LARGE(IF(('KÜÇÜK ERKEKLER'!$D$6:$D$45=A128)*('KÜÇÜK ERKEKLER'!$E$6:$E$45="Takım"),'KÜÇÜK ERKEKLER'!$I$6:$I$45,0),{1,2,3})),0)</f>
        <v/>
      </c>
      <c r="C128" s="33">
        <f>IFERROR(SUMPRODUCT(LARGE(IF(('KÜÇÜK ERKEKLER'!$D$6:$D$45=A128)*('KÜÇÜK ERKEKLER'!$E$6:$E$45="Takım"),'KÜÇÜK ERKEKLER'!$N$6:$N$45,0),{1,2,3})),0)</f>
        <v/>
      </c>
      <c r="D128" s="33">
        <f>IFERROR(SUMPRODUCT(LARGE(IF(('KÜÇÜK ERKEKLER'!$D$6:$D$45=A128)*('KÜÇÜK ERKEKLER'!$E$6:$E$45="Takım"),'KÜÇÜK ERKEKLER'!$S$6:$S$45,0),{1,2,3})),0)</f>
        <v/>
      </c>
      <c r="E128" s="33">
        <f>IFERROR(SUMPRODUCT(LARGE(IF(('KÜÇÜK ERKEKLER'!$D$6:$D$45=A128)*('KÜÇÜK ERKEKLER'!$E$6:$E$45="Takım"),'KÜÇÜK ERKEKLER'!$X$6:$X$45,0),{1,2,3})),0)</f>
        <v/>
      </c>
      <c r="F128" s="36">
        <f>B128+C128+D128+E128</f>
        <v/>
      </c>
      <c r="G128" s="51" t="n">
        <v>0</v>
      </c>
      <c r="H128" s="36">
        <f>IF(A128="","",F128-IFERROR(G128+0,0))</f>
        <v/>
      </c>
      <c r="I128" s="37">
        <f>IF(A128="","-",RANK.EQ(H128,$H$126:$H$145,0))</f>
        <v/>
      </c>
    </row>
    <row r="129">
      <c r="A129" s="52" t="n"/>
      <c r="B129" s="53">
        <f>IFERROR(SUMPRODUCT(LARGE(IF(('KÜÇÜK ERKEKLER'!$D$6:$D$45=A129)*('KÜÇÜK ERKEKLER'!$E$6:$E$45="Takım"),'KÜÇÜK ERKEKLER'!$I$6:$I$45,0),{1,2,3})),0)</f>
        <v/>
      </c>
      <c r="C129" s="53">
        <f>IFERROR(SUMPRODUCT(LARGE(IF(('KÜÇÜK ERKEKLER'!$D$6:$D$45=A129)*('KÜÇÜK ERKEKLER'!$E$6:$E$45="Takım"),'KÜÇÜK ERKEKLER'!$N$6:$N$45,0),{1,2,3})),0)</f>
        <v/>
      </c>
      <c r="D129" s="53">
        <f>IFERROR(SUMPRODUCT(LARGE(IF(('KÜÇÜK ERKEKLER'!$D$6:$D$45=A129)*('KÜÇÜK ERKEKLER'!$E$6:$E$45="Takım"),'KÜÇÜK ERKEKLER'!$S$6:$S$45,0),{1,2,3})),0)</f>
        <v/>
      </c>
      <c r="E129" s="53">
        <f>IFERROR(SUMPRODUCT(LARGE(IF(('KÜÇÜK ERKEKLER'!$D$6:$D$45=A129)*('KÜÇÜK ERKEKLER'!$E$6:$E$45="Takım"),'KÜÇÜK ERKEKLER'!$X$6:$X$45,0),{1,2,3})),0)</f>
        <v/>
      </c>
      <c r="F129" s="36">
        <f>B129+C129+D129+E129</f>
        <v/>
      </c>
      <c r="G129" s="51" t="n">
        <v>0</v>
      </c>
      <c r="H129" s="36">
        <f>IF(A129="","",F129-IFERROR(G129+0,0))</f>
        <v/>
      </c>
      <c r="I129" s="37">
        <f>IF(A129="","-",RANK.EQ(H129,$H$126:$H$145,0))</f>
        <v/>
      </c>
    </row>
    <row r="130">
      <c r="A130" s="50" t="n"/>
      <c r="B130" s="33">
        <f>IFERROR(SUMPRODUCT(LARGE(IF(('KÜÇÜK ERKEKLER'!$D$6:$D$45=A130)*('KÜÇÜK ERKEKLER'!$E$6:$E$45="Takım"),'KÜÇÜK ERKEKLER'!$I$6:$I$45,0),{1,2,3})),0)</f>
        <v/>
      </c>
      <c r="C130" s="33">
        <f>IFERROR(SUMPRODUCT(LARGE(IF(('KÜÇÜK ERKEKLER'!$D$6:$D$45=A130)*('KÜÇÜK ERKEKLER'!$E$6:$E$45="Takım"),'KÜÇÜK ERKEKLER'!$N$6:$N$45,0),{1,2,3})),0)</f>
        <v/>
      </c>
      <c r="D130" s="33">
        <f>IFERROR(SUMPRODUCT(LARGE(IF(('KÜÇÜK ERKEKLER'!$D$6:$D$45=A130)*('KÜÇÜK ERKEKLER'!$E$6:$E$45="Takım"),'KÜÇÜK ERKEKLER'!$S$6:$S$45,0),{1,2,3})),0)</f>
        <v/>
      </c>
      <c r="E130" s="33">
        <f>IFERROR(SUMPRODUCT(LARGE(IF(('KÜÇÜK ERKEKLER'!$D$6:$D$45=A130)*('KÜÇÜK ERKEKLER'!$E$6:$E$45="Takım"),'KÜÇÜK ERKEKLER'!$X$6:$X$45,0),{1,2,3})),0)</f>
        <v/>
      </c>
      <c r="F130" s="36">
        <f>B130+C130+D130+E130</f>
        <v/>
      </c>
      <c r="G130" s="51" t="n">
        <v>0</v>
      </c>
      <c r="H130" s="36">
        <f>IF(A130="","",F130-IFERROR(G130+0,0))</f>
        <v/>
      </c>
      <c r="I130" s="37">
        <f>IF(A130="","-",RANK.EQ(H130,$H$126:$H$145,0))</f>
        <v/>
      </c>
    </row>
    <row r="131">
      <c r="A131" s="52" t="n"/>
      <c r="B131" s="53">
        <f>IFERROR(SUMPRODUCT(LARGE(IF(('KÜÇÜK ERKEKLER'!$D$6:$D$45=A131)*('KÜÇÜK ERKEKLER'!$E$6:$E$45="Takım"),'KÜÇÜK ERKEKLER'!$I$6:$I$45,0),{1,2,3})),0)</f>
        <v/>
      </c>
      <c r="C131" s="53">
        <f>IFERROR(SUMPRODUCT(LARGE(IF(('KÜÇÜK ERKEKLER'!$D$6:$D$45=A131)*('KÜÇÜK ERKEKLER'!$E$6:$E$45="Takım"),'KÜÇÜK ERKEKLER'!$N$6:$N$45,0),{1,2,3})),0)</f>
        <v/>
      </c>
      <c r="D131" s="53">
        <f>IFERROR(SUMPRODUCT(LARGE(IF(('KÜÇÜK ERKEKLER'!$D$6:$D$45=A131)*('KÜÇÜK ERKEKLER'!$E$6:$E$45="Takım"),'KÜÇÜK ERKEKLER'!$S$6:$S$45,0),{1,2,3})),0)</f>
        <v/>
      </c>
      <c r="E131" s="53">
        <f>IFERROR(SUMPRODUCT(LARGE(IF(('KÜÇÜK ERKEKLER'!$D$6:$D$45=A131)*('KÜÇÜK ERKEKLER'!$E$6:$E$45="Takım"),'KÜÇÜK ERKEKLER'!$X$6:$X$45,0),{1,2,3})),0)</f>
        <v/>
      </c>
      <c r="F131" s="36">
        <f>B131+C131+D131+E131</f>
        <v/>
      </c>
      <c r="G131" s="51" t="n">
        <v>0</v>
      </c>
      <c r="H131" s="36">
        <f>IF(A131="","",F131-IFERROR(G131+0,0))</f>
        <v/>
      </c>
      <c r="I131" s="37">
        <f>IF(A131="","-",RANK.EQ(H131,$H$126:$H$145,0))</f>
        <v/>
      </c>
    </row>
    <row r="132">
      <c r="A132" s="50" t="n"/>
      <c r="B132" s="33">
        <f>IFERROR(SUMPRODUCT(LARGE(IF(('KÜÇÜK ERKEKLER'!$D$6:$D$45=A132)*('KÜÇÜK ERKEKLER'!$E$6:$E$45="Takım"),'KÜÇÜK ERKEKLER'!$I$6:$I$45,0),{1,2,3})),0)</f>
        <v/>
      </c>
      <c r="C132" s="33">
        <f>IFERROR(SUMPRODUCT(LARGE(IF(('KÜÇÜK ERKEKLER'!$D$6:$D$45=A132)*('KÜÇÜK ERKEKLER'!$E$6:$E$45="Takım"),'KÜÇÜK ERKEKLER'!$N$6:$N$45,0),{1,2,3})),0)</f>
        <v/>
      </c>
      <c r="D132" s="33">
        <f>IFERROR(SUMPRODUCT(LARGE(IF(('KÜÇÜK ERKEKLER'!$D$6:$D$45=A132)*('KÜÇÜK ERKEKLER'!$E$6:$E$45="Takım"),'KÜÇÜK ERKEKLER'!$S$6:$S$45,0),{1,2,3})),0)</f>
        <v/>
      </c>
      <c r="E132" s="33">
        <f>IFERROR(SUMPRODUCT(LARGE(IF(('KÜÇÜK ERKEKLER'!$D$6:$D$45=A132)*('KÜÇÜK ERKEKLER'!$E$6:$E$45="Takım"),'KÜÇÜK ERKEKLER'!$X$6:$X$45,0),{1,2,3})),0)</f>
        <v/>
      </c>
      <c r="F132" s="36">
        <f>B132+C132+D132+E132</f>
        <v/>
      </c>
      <c r="G132" s="51" t="n">
        <v>0</v>
      </c>
      <c r="H132" s="36">
        <f>IF(A132="","",F132-IFERROR(G132+0,0))</f>
        <v/>
      </c>
      <c r="I132" s="37">
        <f>IF(A132="","-",RANK.EQ(H132,$H$126:$H$145,0))</f>
        <v/>
      </c>
    </row>
    <row r="133">
      <c r="A133" s="52" t="n"/>
      <c r="B133" s="53">
        <f>IFERROR(SUMPRODUCT(LARGE(IF(('KÜÇÜK ERKEKLER'!$D$6:$D$45=A133)*('KÜÇÜK ERKEKLER'!$E$6:$E$45="Takım"),'KÜÇÜK ERKEKLER'!$I$6:$I$45,0),{1,2,3})),0)</f>
        <v/>
      </c>
      <c r="C133" s="53">
        <f>IFERROR(SUMPRODUCT(LARGE(IF(('KÜÇÜK ERKEKLER'!$D$6:$D$45=A133)*('KÜÇÜK ERKEKLER'!$E$6:$E$45="Takım"),'KÜÇÜK ERKEKLER'!$N$6:$N$45,0),{1,2,3})),0)</f>
        <v/>
      </c>
      <c r="D133" s="53">
        <f>IFERROR(SUMPRODUCT(LARGE(IF(('KÜÇÜK ERKEKLER'!$D$6:$D$45=A133)*('KÜÇÜK ERKEKLER'!$E$6:$E$45="Takım"),'KÜÇÜK ERKEKLER'!$S$6:$S$45,0),{1,2,3})),0)</f>
        <v/>
      </c>
      <c r="E133" s="53">
        <f>IFERROR(SUMPRODUCT(LARGE(IF(('KÜÇÜK ERKEKLER'!$D$6:$D$45=A133)*('KÜÇÜK ERKEKLER'!$E$6:$E$45="Takım"),'KÜÇÜK ERKEKLER'!$X$6:$X$45,0),{1,2,3})),0)</f>
        <v/>
      </c>
      <c r="F133" s="36">
        <f>B133+C133+D133+E133</f>
        <v/>
      </c>
      <c r="G133" s="51" t="n">
        <v>0</v>
      </c>
      <c r="H133" s="36">
        <f>IF(A133="","",F133-IFERROR(G133+0,0))</f>
        <v/>
      </c>
      <c r="I133" s="37">
        <f>IF(A133="","-",RANK.EQ(H133,$H$126:$H$145,0))</f>
        <v/>
      </c>
    </row>
    <row r="134">
      <c r="A134" s="50" t="n"/>
      <c r="B134" s="33">
        <f>IFERROR(SUMPRODUCT(LARGE(IF(('KÜÇÜK ERKEKLER'!$D$6:$D$45=A134)*('KÜÇÜK ERKEKLER'!$E$6:$E$45="Takım"),'KÜÇÜK ERKEKLER'!$I$6:$I$45,0),{1,2,3})),0)</f>
        <v/>
      </c>
      <c r="C134" s="33">
        <f>IFERROR(SUMPRODUCT(LARGE(IF(('KÜÇÜK ERKEKLER'!$D$6:$D$45=A134)*('KÜÇÜK ERKEKLER'!$E$6:$E$45="Takım"),'KÜÇÜK ERKEKLER'!$N$6:$N$45,0),{1,2,3})),0)</f>
        <v/>
      </c>
      <c r="D134" s="33">
        <f>IFERROR(SUMPRODUCT(LARGE(IF(('KÜÇÜK ERKEKLER'!$D$6:$D$45=A134)*('KÜÇÜK ERKEKLER'!$E$6:$E$45="Takım"),'KÜÇÜK ERKEKLER'!$S$6:$S$45,0),{1,2,3})),0)</f>
        <v/>
      </c>
      <c r="E134" s="33">
        <f>IFERROR(SUMPRODUCT(LARGE(IF(('KÜÇÜK ERKEKLER'!$D$6:$D$45=A134)*('KÜÇÜK ERKEKLER'!$E$6:$E$45="Takım"),'KÜÇÜK ERKEKLER'!$X$6:$X$45,0),{1,2,3})),0)</f>
        <v/>
      </c>
      <c r="F134" s="36">
        <f>B134+C134+D134+E134</f>
        <v/>
      </c>
      <c r="G134" s="51" t="n">
        <v>0</v>
      </c>
      <c r="H134" s="36">
        <f>IF(A134="","",F134-IFERROR(G134+0,0))</f>
        <v/>
      </c>
      <c r="I134" s="37">
        <f>IF(A134="","-",RANK.EQ(H134,$H$126:$H$145,0))</f>
        <v/>
      </c>
    </row>
    <row r="135">
      <c r="A135" s="52" t="n"/>
      <c r="B135" s="53">
        <f>IFERROR(SUMPRODUCT(LARGE(IF(('KÜÇÜK ERKEKLER'!$D$6:$D$45=A135)*('KÜÇÜK ERKEKLER'!$E$6:$E$45="Takım"),'KÜÇÜK ERKEKLER'!$I$6:$I$45,0),{1,2,3})),0)</f>
        <v/>
      </c>
      <c r="C135" s="53">
        <f>IFERROR(SUMPRODUCT(LARGE(IF(('KÜÇÜK ERKEKLER'!$D$6:$D$45=A135)*('KÜÇÜK ERKEKLER'!$E$6:$E$45="Takım"),'KÜÇÜK ERKEKLER'!$N$6:$N$45,0),{1,2,3})),0)</f>
        <v/>
      </c>
      <c r="D135" s="53">
        <f>IFERROR(SUMPRODUCT(LARGE(IF(('KÜÇÜK ERKEKLER'!$D$6:$D$45=A135)*('KÜÇÜK ERKEKLER'!$E$6:$E$45="Takım"),'KÜÇÜK ERKEKLER'!$S$6:$S$45,0),{1,2,3})),0)</f>
        <v/>
      </c>
      <c r="E135" s="53">
        <f>IFERROR(SUMPRODUCT(LARGE(IF(('KÜÇÜK ERKEKLER'!$D$6:$D$45=A135)*('KÜÇÜK ERKEKLER'!$E$6:$E$45="Takım"),'KÜÇÜK ERKEKLER'!$X$6:$X$45,0),{1,2,3})),0)</f>
        <v/>
      </c>
      <c r="F135" s="36">
        <f>B135+C135+D135+E135</f>
        <v/>
      </c>
      <c r="G135" s="51" t="n">
        <v>0</v>
      </c>
      <c r="H135" s="36">
        <f>IF(A135="","",F135-IFERROR(G135+0,0))</f>
        <v/>
      </c>
      <c r="I135" s="37">
        <f>IF(A135="","-",RANK.EQ(H135,$H$126:$H$145,0))</f>
        <v/>
      </c>
    </row>
    <row r="136">
      <c r="A136" s="50" t="n"/>
      <c r="B136" s="33">
        <f>IFERROR(SUMPRODUCT(LARGE(IF(('KÜÇÜK ERKEKLER'!$D$6:$D$45=A136)*('KÜÇÜK ERKEKLER'!$E$6:$E$45="Takım"),'KÜÇÜK ERKEKLER'!$I$6:$I$45,0),{1,2,3})),0)</f>
        <v/>
      </c>
      <c r="C136" s="33">
        <f>IFERROR(SUMPRODUCT(LARGE(IF(('KÜÇÜK ERKEKLER'!$D$6:$D$45=A136)*('KÜÇÜK ERKEKLER'!$E$6:$E$45="Takım"),'KÜÇÜK ERKEKLER'!$N$6:$N$45,0),{1,2,3})),0)</f>
        <v/>
      </c>
      <c r="D136" s="33">
        <f>IFERROR(SUMPRODUCT(LARGE(IF(('KÜÇÜK ERKEKLER'!$D$6:$D$45=A136)*('KÜÇÜK ERKEKLER'!$E$6:$E$45="Takım"),'KÜÇÜK ERKEKLER'!$S$6:$S$45,0),{1,2,3})),0)</f>
        <v/>
      </c>
      <c r="E136" s="33">
        <f>IFERROR(SUMPRODUCT(LARGE(IF(('KÜÇÜK ERKEKLER'!$D$6:$D$45=A136)*('KÜÇÜK ERKEKLER'!$E$6:$E$45="Takım"),'KÜÇÜK ERKEKLER'!$X$6:$X$45,0),{1,2,3})),0)</f>
        <v/>
      </c>
      <c r="F136" s="36">
        <f>B136+C136+D136+E136</f>
        <v/>
      </c>
      <c r="G136" s="51" t="n">
        <v>0</v>
      </c>
      <c r="H136" s="36">
        <f>IF(A136="","",F136-IFERROR(G136+0,0))</f>
        <v/>
      </c>
      <c r="I136" s="37">
        <f>IF(A136="","-",RANK.EQ(H136,$H$126:$H$145,0))</f>
        <v/>
      </c>
    </row>
    <row r="137">
      <c r="A137" s="52" t="n"/>
      <c r="B137" s="53">
        <f>IFERROR(SUMPRODUCT(LARGE(IF(('KÜÇÜK ERKEKLER'!$D$6:$D$45=A137)*('KÜÇÜK ERKEKLER'!$E$6:$E$45="Takım"),'KÜÇÜK ERKEKLER'!$I$6:$I$45,0),{1,2,3})),0)</f>
        <v/>
      </c>
      <c r="C137" s="53">
        <f>IFERROR(SUMPRODUCT(LARGE(IF(('KÜÇÜK ERKEKLER'!$D$6:$D$45=A137)*('KÜÇÜK ERKEKLER'!$E$6:$E$45="Takım"),'KÜÇÜK ERKEKLER'!$N$6:$N$45,0),{1,2,3})),0)</f>
        <v/>
      </c>
      <c r="D137" s="53">
        <f>IFERROR(SUMPRODUCT(LARGE(IF(('KÜÇÜK ERKEKLER'!$D$6:$D$45=A137)*('KÜÇÜK ERKEKLER'!$E$6:$E$45="Takım"),'KÜÇÜK ERKEKLER'!$S$6:$S$45,0),{1,2,3})),0)</f>
        <v/>
      </c>
      <c r="E137" s="53">
        <f>IFERROR(SUMPRODUCT(LARGE(IF(('KÜÇÜK ERKEKLER'!$D$6:$D$45=A137)*('KÜÇÜK ERKEKLER'!$E$6:$E$45="Takım"),'KÜÇÜK ERKEKLER'!$X$6:$X$45,0),{1,2,3})),0)</f>
        <v/>
      </c>
      <c r="F137" s="36">
        <f>B137+C137+D137+E137</f>
        <v/>
      </c>
      <c r="G137" s="51" t="n">
        <v>0</v>
      </c>
      <c r="H137" s="36">
        <f>IF(A137="","",F137-IFERROR(G137+0,0))</f>
        <v/>
      </c>
      <c r="I137" s="37">
        <f>IF(A137="","-",RANK.EQ(H137,$H$126:$H$145,0))</f>
        <v/>
      </c>
    </row>
    <row r="138">
      <c r="A138" s="50" t="n"/>
      <c r="B138" s="33">
        <f>IFERROR(SUMPRODUCT(LARGE(IF(('KÜÇÜK ERKEKLER'!$D$6:$D$45=A138)*('KÜÇÜK ERKEKLER'!$E$6:$E$45="Takım"),'KÜÇÜK ERKEKLER'!$I$6:$I$45,0),{1,2,3})),0)</f>
        <v/>
      </c>
      <c r="C138" s="33">
        <f>IFERROR(SUMPRODUCT(LARGE(IF(('KÜÇÜK ERKEKLER'!$D$6:$D$45=A138)*('KÜÇÜK ERKEKLER'!$E$6:$E$45="Takım"),'KÜÇÜK ERKEKLER'!$N$6:$N$45,0),{1,2,3})),0)</f>
        <v/>
      </c>
      <c r="D138" s="33">
        <f>IFERROR(SUMPRODUCT(LARGE(IF(('KÜÇÜK ERKEKLER'!$D$6:$D$45=A138)*('KÜÇÜK ERKEKLER'!$E$6:$E$45="Takım"),'KÜÇÜK ERKEKLER'!$S$6:$S$45,0),{1,2,3})),0)</f>
        <v/>
      </c>
      <c r="E138" s="33">
        <f>IFERROR(SUMPRODUCT(LARGE(IF(('KÜÇÜK ERKEKLER'!$D$6:$D$45=A138)*('KÜÇÜK ERKEKLER'!$E$6:$E$45="Takım"),'KÜÇÜK ERKEKLER'!$X$6:$X$45,0),{1,2,3})),0)</f>
        <v/>
      </c>
      <c r="F138" s="36">
        <f>B138+C138+D138+E138</f>
        <v/>
      </c>
      <c r="G138" s="51" t="n">
        <v>0</v>
      </c>
      <c r="H138" s="36">
        <f>IF(A138="","",F138-IFERROR(G138+0,0))</f>
        <v/>
      </c>
      <c r="I138" s="37">
        <f>IF(A138="","-",RANK.EQ(H138,$H$126:$H$145,0))</f>
        <v/>
      </c>
    </row>
    <row r="139">
      <c r="A139" s="52" t="n"/>
      <c r="B139" s="53">
        <f>IFERROR(SUMPRODUCT(LARGE(IF(('KÜÇÜK ERKEKLER'!$D$6:$D$45=A139)*('KÜÇÜK ERKEKLER'!$E$6:$E$45="Takım"),'KÜÇÜK ERKEKLER'!$I$6:$I$45,0),{1,2,3})),0)</f>
        <v/>
      </c>
      <c r="C139" s="53">
        <f>IFERROR(SUMPRODUCT(LARGE(IF(('KÜÇÜK ERKEKLER'!$D$6:$D$45=A139)*('KÜÇÜK ERKEKLER'!$E$6:$E$45="Takım"),'KÜÇÜK ERKEKLER'!$N$6:$N$45,0),{1,2,3})),0)</f>
        <v/>
      </c>
      <c r="D139" s="53">
        <f>IFERROR(SUMPRODUCT(LARGE(IF(('KÜÇÜK ERKEKLER'!$D$6:$D$45=A139)*('KÜÇÜK ERKEKLER'!$E$6:$E$45="Takım"),'KÜÇÜK ERKEKLER'!$S$6:$S$45,0),{1,2,3})),0)</f>
        <v/>
      </c>
      <c r="E139" s="53">
        <f>IFERROR(SUMPRODUCT(LARGE(IF(('KÜÇÜK ERKEKLER'!$D$6:$D$45=A139)*('KÜÇÜK ERKEKLER'!$E$6:$E$45="Takım"),'KÜÇÜK ERKEKLER'!$X$6:$X$45,0),{1,2,3})),0)</f>
        <v/>
      </c>
      <c r="F139" s="36">
        <f>B139+C139+D139+E139</f>
        <v/>
      </c>
      <c r="G139" s="51" t="n">
        <v>0</v>
      </c>
      <c r="H139" s="36">
        <f>IF(A139="","",F139-IFERROR(G139+0,0))</f>
        <v/>
      </c>
      <c r="I139" s="37">
        <f>IF(A139="","-",RANK.EQ(H139,$H$126:$H$145,0))</f>
        <v/>
      </c>
    </row>
    <row r="140">
      <c r="A140" s="50" t="n"/>
      <c r="B140" s="33">
        <f>IFERROR(SUMPRODUCT(LARGE(IF(('KÜÇÜK ERKEKLER'!$D$6:$D$45=A140)*('KÜÇÜK ERKEKLER'!$E$6:$E$45="Takım"),'KÜÇÜK ERKEKLER'!$I$6:$I$45,0),{1,2,3})),0)</f>
        <v/>
      </c>
      <c r="C140" s="33">
        <f>IFERROR(SUMPRODUCT(LARGE(IF(('KÜÇÜK ERKEKLER'!$D$6:$D$45=A140)*('KÜÇÜK ERKEKLER'!$E$6:$E$45="Takım"),'KÜÇÜK ERKEKLER'!$N$6:$N$45,0),{1,2,3})),0)</f>
        <v/>
      </c>
      <c r="D140" s="33">
        <f>IFERROR(SUMPRODUCT(LARGE(IF(('KÜÇÜK ERKEKLER'!$D$6:$D$45=A140)*('KÜÇÜK ERKEKLER'!$E$6:$E$45="Takım"),'KÜÇÜK ERKEKLER'!$S$6:$S$45,0),{1,2,3})),0)</f>
        <v/>
      </c>
      <c r="E140" s="33">
        <f>IFERROR(SUMPRODUCT(LARGE(IF(('KÜÇÜK ERKEKLER'!$D$6:$D$45=A140)*('KÜÇÜK ERKEKLER'!$E$6:$E$45="Takım"),'KÜÇÜK ERKEKLER'!$X$6:$X$45,0),{1,2,3})),0)</f>
        <v/>
      </c>
      <c r="F140" s="36">
        <f>B140+C140+D140+E140</f>
        <v/>
      </c>
      <c r="G140" s="51" t="n">
        <v>0</v>
      </c>
      <c r="H140" s="36">
        <f>IF(A140="","",F140-IFERROR(G140+0,0))</f>
        <v/>
      </c>
      <c r="I140" s="37">
        <f>IF(A140="","-",RANK.EQ(H140,$H$126:$H$145,0))</f>
        <v/>
      </c>
    </row>
    <row r="141">
      <c r="A141" s="52" t="n"/>
      <c r="B141" s="53">
        <f>IFERROR(SUMPRODUCT(LARGE(IF(('KÜÇÜK ERKEKLER'!$D$6:$D$45=A141)*('KÜÇÜK ERKEKLER'!$E$6:$E$45="Takım"),'KÜÇÜK ERKEKLER'!$I$6:$I$45,0),{1,2,3})),0)</f>
        <v/>
      </c>
      <c r="C141" s="53">
        <f>IFERROR(SUMPRODUCT(LARGE(IF(('KÜÇÜK ERKEKLER'!$D$6:$D$45=A141)*('KÜÇÜK ERKEKLER'!$E$6:$E$45="Takım"),'KÜÇÜK ERKEKLER'!$N$6:$N$45,0),{1,2,3})),0)</f>
        <v/>
      </c>
      <c r="D141" s="53">
        <f>IFERROR(SUMPRODUCT(LARGE(IF(('KÜÇÜK ERKEKLER'!$D$6:$D$45=A141)*('KÜÇÜK ERKEKLER'!$E$6:$E$45="Takım"),'KÜÇÜK ERKEKLER'!$S$6:$S$45,0),{1,2,3})),0)</f>
        <v/>
      </c>
      <c r="E141" s="53">
        <f>IFERROR(SUMPRODUCT(LARGE(IF(('KÜÇÜK ERKEKLER'!$D$6:$D$45=A141)*('KÜÇÜK ERKEKLER'!$E$6:$E$45="Takım"),'KÜÇÜK ERKEKLER'!$X$6:$X$45,0),{1,2,3})),0)</f>
        <v/>
      </c>
      <c r="F141" s="36">
        <f>B141+C141+D141+E141</f>
        <v/>
      </c>
      <c r="G141" s="51" t="n">
        <v>0</v>
      </c>
      <c r="H141" s="36">
        <f>IF(A141="","",F141-IFERROR(G141+0,0))</f>
        <v/>
      </c>
      <c r="I141" s="37">
        <f>IF(A141="","-",RANK.EQ(H141,$H$126:$H$145,0))</f>
        <v/>
      </c>
    </row>
    <row r="142">
      <c r="A142" s="50" t="n"/>
      <c r="B142" s="33">
        <f>IFERROR(SUMPRODUCT(LARGE(IF(('KÜÇÜK ERKEKLER'!$D$6:$D$45=A142)*('KÜÇÜK ERKEKLER'!$E$6:$E$45="Takım"),'KÜÇÜK ERKEKLER'!$I$6:$I$45,0),{1,2,3})),0)</f>
        <v/>
      </c>
      <c r="C142" s="33">
        <f>IFERROR(SUMPRODUCT(LARGE(IF(('KÜÇÜK ERKEKLER'!$D$6:$D$45=A142)*('KÜÇÜK ERKEKLER'!$E$6:$E$45="Takım"),'KÜÇÜK ERKEKLER'!$N$6:$N$45,0),{1,2,3})),0)</f>
        <v/>
      </c>
      <c r="D142" s="33">
        <f>IFERROR(SUMPRODUCT(LARGE(IF(('KÜÇÜK ERKEKLER'!$D$6:$D$45=A142)*('KÜÇÜK ERKEKLER'!$E$6:$E$45="Takım"),'KÜÇÜK ERKEKLER'!$S$6:$S$45,0),{1,2,3})),0)</f>
        <v/>
      </c>
      <c r="E142" s="33">
        <f>IFERROR(SUMPRODUCT(LARGE(IF(('KÜÇÜK ERKEKLER'!$D$6:$D$45=A142)*('KÜÇÜK ERKEKLER'!$E$6:$E$45="Takım"),'KÜÇÜK ERKEKLER'!$X$6:$X$45,0),{1,2,3})),0)</f>
        <v/>
      </c>
      <c r="F142" s="36">
        <f>B142+C142+D142+E142</f>
        <v/>
      </c>
      <c r="G142" s="51" t="n">
        <v>0</v>
      </c>
      <c r="H142" s="36">
        <f>IF(A142="","",F142-IFERROR(G142+0,0))</f>
        <v/>
      </c>
      <c r="I142" s="37">
        <f>IF(A142="","-",RANK.EQ(H142,$H$126:$H$145,0))</f>
        <v/>
      </c>
    </row>
    <row r="143">
      <c r="A143" s="52" t="n"/>
      <c r="B143" s="53">
        <f>IFERROR(SUMPRODUCT(LARGE(IF(('KÜÇÜK ERKEKLER'!$D$6:$D$45=A143)*('KÜÇÜK ERKEKLER'!$E$6:$E$45="Takım"),'KÜÇÜK ERKEKLER'!$I$6:$I$45,0),{1,2,3})),0)</f>
        <v/>
      </c>
      <c r="C143" s="53">
        <f>IFERROR(SUMPRODUCT(LARGE(IF(('KÜÇÜK ERKEKLER'!$D$6:$D$45=A143)*('KÜÇÜK ERKEKLER'!$E$6:$E$45="Takım"),'KÜÇÜK ERKEKLER'!$N$6:$N$45,0),{1,2,3})),0)</f>
        <v/>
      </c>
      <c r="D143" s="53">
        <f>IFERROR(SUMPRODUCT(LARGE(IF(('KÜÇÜK ERKEKLER'!$D$6:$D$45=A143)*('KÜÇÜK ERKEKLER'!$E$6:$E$45="Takım"),'KÜÇÜK ERKEKLER'!$S$6:$S$45,0),{1,2,3})),0)</f>
        <v/>
      </c>
      <c r="E143" s="53">
        <f>IFERROR(SUMPRODUCT(LARGE(IF(('KÜÇÜK ERKEKLER'!$D$6:$D$45=A143)*('KÜÇÜK ERKEKLER'!$E$6:$E$45="Takım"),'KÜÇÜK ERKEKLER'!$X$6:$X$45,0),{1,2,3})),0)</f>
        <v/>
      </c>
      <c r="F143" s="36">
        <f>B143+C143+D143+E143</f>
        <v/>
      </c>
      <c r="G143" s="51" t="n">
        <v>0</v>
      </c>
      <c r="H143" s="36">
        <f>IF(A143="","",F143-IFERROR(G143+0,0))</f>
        <v/>
      </c>
      <c r="I143" s="37">
        <f>IF(A143="","-",RANK.EQ(H143,$H$126:$H$145,0))</f>
        <v/>
      </c>
    </row>
    <row r="144">
      <c r="A144" s="50" t="n"/>
      <c r="B144" s="33">
        <f>IFERROR(SUMPRODUCT(LARGE(IF(('KÜÇÜK ERKEKLER'!$D$6:$D$45=A144)*('KÜÇÜK ERKEKLER'!$E$6:$E$45="Takım"),'KÜÇÜK ERKEKLER'!$I$6:$I$45,0),{1,2,3})),0)</f>
        <v/>
      </c>
      <c r="C144" s="33">
        <f>IFERROR(SUMPRODUCT(LARGE(IF(('KÜÇÜK ERKEKLER'!$D$6:$D$45=A144)*('KÜÇÜK ERKEKLER'!$E$6:$E$45="Takım"),'KÜÇÜK ERKEKLER'!$N$6:$N$45,0),{1,2,3})),0)</f>
        <v/>
      </c>
      <c r="D144" s="33">
        <f>IFERROR(SUMPRODUCT(LARGE(IF(('KÜÇÜK ERKEKLER'!$D$6:$D$45=A144)*('KÜÇÜK ERKEKLER'!$E$6:$E$45="Takım"),'KÜÇÜK ERKEKLER'!$S$6:$S$45,0),{1,2,3})),0)</f>
        <v/>
      </c>
      <c r="E144" s="33">
        <f>IFERROR(SUMPRODUCT(LARGE(IF(('KÜÇÜK ERKEKLER'!$D$6:$D$45=A144)*('KÜÇÜK ERKEKLER'!$E$6:$E$45="Takım"),'KÜÇÜK ERKEKLER'!$X$6:$X$45,0),{1,2,3})),0)</f>
        <v/>
      </c>
      <c r="F144" s="36">
        <f>B144+C144+D144+E144</f>
        <v/>
      </c>
      <c r="G144" s="51" t="n">
        <v>0</v>
      </c>
      <c r="H144" s="36">
        <f>IF(A144="","",F144-IFERROR(G144+0,0))</f>
        <v/>
      </c>
      <c r="I144" s="37">
        <f>IF(A144="","-",RANK.EQ(H144,$H$126:$H$145,0))</f>
        <v/>
      </c>
    </row>
    <row r="145">
      <c r="A145" s="52" t="n"/>
      <c r="B145" s="53">
        <f>IFERROR(SUMPRODUCT(LARGE(IF(('KÜÇÜK ERKEKLER'!$D$6:$D$45=A145)*('KÜÇÜK ERKEKLER'!$E$6:$E$45="Takım"),'KÜÇÜK ERKEKLER'!$I$6:$I$45,0),{1,2,3})),0)</f>
        <v/>
      </c>
      <c r="C145" s="53">
        <f>IFERROR(SUMPRODUCT(LARGE(IF(('KÜÇÜK ERKEKLER'!$D$6:$D$45=A145)*('KÜÇÜK ERKEKLER'!$E$6:$E$45="Takım"),'KÜÇÜK ERKEKLER'!$N$6:$N$45,0),{1,2,3})),0)</f>
        <v/>
      </c>
      <c r="D145" s="53">
        <f>IFERROR(SUMPRODUCT(LARGE(IF(('KÜÇÜK ERKEKLER'!$D$6:$D$45=A145)*('KÜÇÜK ERKEKLER'!$E$6:$E$45="Takım"),'KÜÇÜK ERKEKLER'!$S$6:$S$45,0),{1,2,3})),0)</f>
        <v/>
      </c>
      <c r="E145" s="53">
        <f>IFERROR(SUMPRODUCT(LARGE(IF(('KÜÇÜK ERKEKLER'!$D$6:$D$45=A145)*('KÜÇÜK ERKEKLER'!$E$6:$E$45="Takım"),'KÜÇÜK ERKEKLER'!$X$6:$X$45,0),{1,2,3})),0)</f>
        <v/>
      </c>
      <c r="F145" s="36">
        <f>B145+C145+D145+E145</f>
        <v/>
      </c>
      <c r="G145" s="51" t="n">
        <v>0</v>
      </c>
      <c r="H145" s="36">
        <f>IF(A145="","",F145-IFERROR(G145+0,0))</f>
        <v/>
      </c>
      <c r="I145" s="37">
        <f>IF(A145="","-",RANK.EQ(H145,$H$126:$H$145,0))</f>
        <v/>
      </c>
    </row>
    <row r="148" ht="24" customHeight="1">
      <c r="A148" s="49" t="inlineStr">
        <is>
          <t>YILDIZ KIZLAR  —  TAKIM SIRALAMASI</t>
        </is>
      </c>
    </row>
    <row r="149" ht="22" customHeight="1">
      <c r="A149" s="27" t="inlineStr">
        <is>
          <t>TAKIM ADI</t>
        </is>
      </c>
      <c r="B149" s="27" t="inlineStr">
        <is>
          <t>En İyi 3
VT</t>
        </is>
      </c>
      <c r="C149" s="27" t="inlineStr">
        <is>
          <t>En İyi 3
UB</t>
        </is>
      </c>
      <c r="D149" s="27" t="inlineStr">
        <is>
          <t>En İyi 3
BB</t>
        </is>
      </c>
      <c r="E149" s="27" t="inlineStr">
        <is>
          <t>En İyi 3
FX</t>
        </is>
      </c>
      <c r="F149" s="27" t="inlineStr">
        <is>
          <t>TOPLAM</t>
        </is>
      </c>
      <c r="G149" s="27" t="inlineStr">
        <is>
          <t>KESİNTİ</t>
        </is>
      </c>
      <c r="H149" s="27" t="inlineStr">
        <is>
          <t>FİNAL PUAN</t>
        </is>
      </c>
      <c r="I149" s="27" t="inlineStr">
        <is>
          <t>SIRALAMA</t>
        </is>
      </c>
    </row>
    <row r="150">
      <c r="A150" s="50" t="n"/>
      <c r="B150" s="33">
        <f>IFERROR(SUMPRODUCT(LARGE(IF(('YILDIZ KIZLAR'!$D$6:$D$45=A150)*('YILDIZ KIZLAR'!$E$6:$E$45="Takım"),'YILDIZ KIZLAR'!$I$6:$I$45,0),{1,2,3})),0)</f>
        <v/>
      </c>
      <c r="C150" s="33">
        <f>IFERROR(SUMPRODUCT(LARGE(IF(('YILDIZ KIZLAR'!$D$6:$D$45=A150)*('YILDIZ KIZLAR'!$E$6:$E$45="Takım"),'YILDIZ KIZLAR'!$N$6:$N$45,0),{1,2,3})),0)</f>
        <v/>
      </c>
      <c r="D150" s="33">
        <f>IFERROR(SUMPRODUCT(LARGE(IF(('YILDIZ KIZLAR'!$D$6:$D$45=A150)*('YILDIZ KIZLAR'!$E$6:$E$45="Takım"),'YILDIZ KIZLAR'!$S$6:$S$45,0),{1,2,3})),0)</f>
        <v/>
      </c>
      <c r="E150" s="33">
        <f>IFERROR(SUMPRODUCT(LARGE(IF(('YILDIZ KIZLAR'!$D$6:$D$45=A150)*('YILDIZ KIZLAR'!$E$6:$E$45="Takım"),'YILDIZ KIZLAR'!$X$6:$X$45,0),{1,2,3})),0)</f>
        <v/>
      </c>
      <c r="F150" s="36">
        <f>B150+C150+D150+E150</f>
        <v/>
      </c>
      <c r="G150" s="51" t="n">
        <v>0</v>
      </c>
      <c r="H150" s="36">
        <f>IF(A150="","",F150-IFERROR(G150+0,0))</f>
        <v/>
      </c>
      <c r="I150" s="37">
        <f>IF(A150="","-",RANK.EQ(H150,$H$150:$H$169,0))</f>
        <v/>
      </c>
    </row>
    <row r="151">
      <c r="A151" s="52" t="n"/>
      <c r="B151" s="53">
        <f>IFERROR(SUMPRODUCT(LARGE(IF(('YILDIZ KIZLAR'!$D$6:$D$45=A151)*('YILDIZ KIZLAR'!$E$6:$E$45="Takım"),'YILDIZ KIZLAR'!$I$6:$I$45,0),{1,2,3})),0)</f>
        <v/>
      </c>
      <c r="C151" s="53">
        <f>IFERROR(SUMPRODUCT(LARGE(IF(('YILDIZ KIZLAR'!$D$6:$D$45=A151)*('YILDIZ KIZLAR'!$E$6:$E$45="Takım"),'YILDIZ KIZLAR'!$N$6:$N$45,0),{1,2,3})),0)</f>
        <v/>
      </c>
      <c r="D151" s="53">
        <f>IFERROR(SUMPRODUCT(LARGE(IF(('YILDIZ KIZLAR'!$D$6:$D$45=A151)*('YILDIZ KIZLAR'!$E$6:$E$45="Takım"),'YILDIZ KIZLAR'!$S$6:$S$45,0),{1,2,3})),0)</f>
        <v/>
      </c>
      <c r="E151" s="53">
        <f>IFERROR(SUMPRODUCT(LARGE(IF(('YILDIZ KIZLAR'!$D$6:$D$45=A151)*('YILDIZ KIZLAR'!$E$6:$E$45="Takım"),'YILDIZ KIZLAR'!$X$6:$X$45,0),{1,2,3})),0)</f>
        <v/>
      </c>
      <c r="F151" s="36">
        <f>B151+C151+D151+E151</f>
        <v/>
      </c>
      <c r="G151" s="51" t="n">
        <v>0</v>
      </c>
      <c r="H151" s="36">
        <f>IF(A151="","",F151-IFERROR(G151+0,0))</f>
        <v/>
      </c>
      <c r="I151" s="37">
        <f>IF(A151="","-",RANK.EQ(H151,$H$150:$H$169,0))</f>
        <v/>
      </c>
    </row>
    <row r="152">
      <c r="A152" s="50" t="n"/>
      <c r="B152" s="33">
        <f>IFERROR(SUMPRODUCT(LARGE(IF(('YILDIZ KIZLAR'!$D$6:$D$45=A152)*('YILDIZ KIZLAR'!$E$6:$E$45="Takım"),'YILDIZ KIZLAR'!$I$6:$I$45,0),{1,2,3})),0)</f>
        <v/>
      </c>
      <c r="C152" s="33">
        <f>IFERROR(SUMPRODUCT(LARGE(IF(('YILDIZ KIZLAR'!$D$6:$D$45=A152)*('YILDIZ KIZLAR'!$E$6:$E$45="Takım"),'YILDIZ KIZLAR'!$N$6:$N$45,0),{1,2,3})),0)</f>
        <v/>
      </c>
      <c r="D152" s="33">
        <f>IFERROR(SUMPRODUCT(LARGE(IF(('YILDIZ KIZLAR'!$D$6:$D$45=A152)*('YILDIZ KIZLAR'!$E$6:$E$45="Takım"),'YILDIZ KIZLAR'!$S$6:$S$45,0),{1,2,3})),0)</f>
        <v/>
      </c>
      <c r="E152" s="33">
        <f>IFERROR(SUMPRODUCT(LARGE(IF(('YILDIZ KIZLAR'!$D$6:$D$45=A152)*('YILDIZ KIZLAR'!$E$6:$E$45="Takım"),'YILDIZ KIZLAR'!$X$6:$X$45,0),{1,2,3})),0)</f>
        <v/>
      </c>
      <c r="F152" s="36">
        <f>B152+C152+D152+E152</f>
        <v/>
      </c>
      <c r="G152" s="51" t="n">
        <v>0</v>
      </c>
      <c r="H152" s="36">
        <f>IF(A152="","",F152-IFERROR(G152+0,0))</f>
        <v/>
      </c>
      <c r="I152" s="37">
        <f>IF(A152="","-",RANK.EQ(H152,$H$150:$H$169,0))</f>
        <v/>
      </c>
    </row>
    <row r="153">
      <c r="A153" s="52" t="n"/>
      <c r="B153" s="53">
        <f>IFERROR(SUMPRODUCT(LARGE(IF(('YILDIZ KIZLAR'!$D$6:$D$45=A153)*('YILDIZ KIZLAR'!$E$6:$E$45="Takım"),'YILDIZ KIZLAR'!$I$6:$I$45,0),{1,2,3})),0)</f>
        <v/>
      </c>
      <c r="C153" s="53">
        <f>IFERROR(SUMPRODUCT(LARGE(IF(('YILDIZ KIZLAR'!$D$6:$D$45=A153)*('YILDIZ KIZLAR'!$E$6:$E$45="Takım"),'YILDIZ KIZLAR'!$N$6:$N$45,0),{1,2,3})),0)</f>
        <v/>
      </c>
      <c r="D153" s="53">
        <f>IFERROR(SUMPRODUCT(LARGE(IF(('YILDIZ KIZLAR'!$D$6:$D$45=A153)*('YILDIZ KIZLAR'!$E$6:$E$45="Takım"),'YILDIZ KIZLAR'!$S$6:$S$45,0),{1,2,3})),0)</f>
        <v/>
      </c>
      <c r="E153" s="53">
        <f>IFERROR(SUMPRODUCT(LARGE(IF(('YILDIZ KIZLAR'!$D$6:$D$45=A153)*('YILDIZ KIZLAR'!$E$6:$E$45="Takım"),'YILDIZ KIZLAR'!$X$6:$X$45,0),{1,2,3})),0)</f>
        <v/>
      </c>
      <c r="F153" s="36">
        <f>B153+C153+D153+E153</f>
        <v/>
      </c>
      <c r="G153" s="51" t="n">
        <v>0</v>
      </c>
      <c r="H153" s="36">
        <f>IF(A153="","",F153-IFERROR(G153+0,0))</f>
        <v/>
      </c>
      <c r="I153" s="37">
        <f>IF(A153="","-",RANK.EQ(H153,$H$150:$H$169,0))</f>
        <v/>
      </c>
    </row>
    <row r="154">
      <c r="A154" s="50" t="n"/>
      <c r="B154" s="33">
        <f>IFERROR(SUMPRODUCT(LARGE(IF(('YILDIZ KIZLAR'!$D$6:$D$45=A154)*('YILDIZ KIZLAR'!$E$6:$E$45="Takım"),'YILDIZ KIZLAR'!$I$6:$I$45,0),{1,2,3})),0)</f>
        <v/>
      </c>
      <c r="C154" s="33">
        <f>IFERROR(SUMPRODUCT(LARGE(IF(('YILDIZ KIZLAR'!$D$6:$D$45=A154)*('YILDIZ KIZLAR'!$E$6:$E$45="Takım"),'YILDIZ KIZLAR'!$N$6:$N$45,0),{1,2,3})),0)</f>
        <v/>
      </c>
      <c r="D154" s="33">
        <f>IFERROR(SUMPRODUCT(LARGE(IF(('YILDIZ KIZLAR'!$D$6:$D$45=A154)*('YILDIZ KIZLAR'!$E$6:$E$45="Takım"),'YILDIZ KIZLAR'!$S$6:$S$45,0),{1,2,3})),0)</f>
        <v/>
      </c>
      <c r="E154" s="33">
        <f>IFERROR(SUMPRODUCT(LARGE(IF(('YILDIZ KIZLAR'!$D$6:$D$45=A154)*('YILDIZ KIZLAR'!$E$6:$E$45="Takım"),'YILDIZ KIZLAR'!$X$6:$X$45,0),{1,2,3})),0)</f>
        <v/>
      </c>
      <c r="F154" s="36">
        <f>B154+C154+D154+E154</f>
        <v/>
      </c>
      <c r="G154" s="51" t="n">
        <v>0</v>
      </c>
      <c r="H154" s="36">
        <f>IF(A154="","",F154-IFERROR(G154+0,0))</f>
        <v/>
      </c>
      <c r="I154" s="37">
        <f>IF(A154="","-",RANK.EQ(H154,$H$150:$H$169,0))</f>
        <v/>
      </c>
    </row>
    <row r="155">
      <c r="A155" s="52" t="n"/>
      <c r="B155" s="53">
        <f>IFERROR(SUMPRODUCT(LARGE(IF(('YILDIZ KIZLAR'!$D$6:$D$45=A155)*('YILDIZ KIZLAR'!$E$6:$E$45="Takım"),'YILDIZ KIZLAR'!$I$6:$I$45,0),{1,2,3})),0)</f>
        <v/>
      </c>
      <c r="C155" s="53">
        <f>IFERROR(SUMPRODUCT(LARGE(IF(('YILDIZ KIZLAR'!$D$6:$D$45=A155)*('YILDIZ KIZLAR'!$E$6:$E$45="Takım"),'YILDIZ KIZLAR'!$N$6:$N$45,0),{1,2,3})),0)</f>
        <v/>
      </c>
      <c r="D155" s="53">
        <f>IFERROR(SUMPRODUCT(LARGE(IF(('YILDIZ KIZLAR'!$D$6:$D$45=A155)*('YILDIZ KIZLAR'!$E$6:$E$45="Takım"),'YILDIZ KIZLAR'!$S$6:$S$45,0),{1,2,3})),0)</f>
        <v/>
      </c>
      <c r="E155" s="53">
        <f>IFERROR(SUMPRODUCT(LARGE(IF(('YILDIZ KIZLAR'!$D$6:$D$45=A155)*('YILDIZ KIZLAR'!$E$6:$E$45="Takım"),'YILDIZ KIZLAR'!$X$6:$X$45,0),{1,2,3})),0)</f>
        <v/>
      </c>
      <c r="F155" s="36">
        <f>B155+C155+D155+E155</f>
        <v/>
      </c>
      <c r="G155" s="51" t="n">
        <v>0</v>
      </c>
      <c r="H155" s="36">
        <f>IF(A155="","",F155-IFERROR(G155+0,0))</f>
        <v/>
      </c>
      <c r="I155" s="37">
        <f>IF(A155="","-",RANK.EQ(H155,$H$150:$H$169,0))</f>
        <v/>
      </c>
    </row>
    <row r="156">
      <c r="A156" s="50" t="n"/>
      <c r="B156" s="33">
        <f>IFERROR(SUMPRODUCT(LARGE(IF(('YILDIZ KIZLAR'!$D$6:$D$45=A156)*('YILDIZ KIZLAR'!$E$6:$E$45="Takım"),'YILDIZ KIZLAR'!$I$6:$I$45,0),{1,2,3})),0)</f>
        <v/>
      </c>
      <c r="C156" s="33">
        <f>IFERROR(SUMPRODUCT(LARGE(IF(('YILDIZ KIZLAR'!$D$6:$D$45=A156)*('YILDIZ KIZLAR'!$E$6:$E$45="Takım"),'YILDIZ KIZLAR'!$N$6:$N$45,0),{1,2,3})),0)</f>
        <v/>
      </c>
      <c r="D156" s="33">
        <f>IFERROR(SUMPRODUCT(LARGE(IF(('YILDIZ KIZLAR'!$D$6:$D$45=A156)*('YILDIZ KIZLAR'!$E$6:$E$45="Takım"),'YILDIZ KIZLAR'!$S$6:$S$45,0),{1,2,3})),0)</f>
        <v/>
      </c>
      <c r="E156" s="33">
        <f>IFERROR(SUMPRODUCT(LARGE(IF(('YILDIZ KIZLAR'!$D$6:$D$45=A156)*('YILDIZ KIZLAR'!$E$6:$E$45="Takım"),'YILDIZ KIZLAR'!$X$6:$X$45,0),{1,2,3})),0)</f>
        <v/>
      </c>
      <c r="F156" s="36">
        <f>B156+C156+D156+E156</f>
        <v/>
      </c>
      <c r="G156" s="51" t="n">
        <v>0</v>
      </c>
      <c r="H156" s="36">
        <f>IF(A156="","",F156-IFERROR(G156+0,0))</f>
        <v/>
      </c>
      <c r="I156" s="37">
        <f>IF(A156="","-",RANK.EQ(H156,$H$150:$H$169,0))</f>
        <v/>
      </c>
    </row>
    <row r="157">
      <c r="A157" s="52" t="n"/>
      <c r="B157" s="53">
        <f>IFERROR(SUMPRODUCT(LARGE(IF(('YILDIZ KIZLAR'!$D$6:$D$45=A157)*('YILDIZ KIZLAR'!$E$6:$E$45="Takım"),'YILDIZ KIZLAR'!$I$6:$I$45,0),{1,2,3})),0)</f>
        <v/>
      </c>
      <c r="C157" s="53">
        <f>IFERROR(SUMPRODUCT(LARGE(IF(('YILDIZ KIZLAR'!$D$6:$D$45=A157)*('YILDIZ KIZLAR'!$E$6:$E$45="Takım"),'YILDIZ KIZLAR'!$N$6:$N$45,0),{1,2,3})),0)</f>
        <v/>
      </c>
      <c r="D157" s="53">
        <f>IFERROR(SUMPRODUCT(LARGE(IF(('YILDIZ KIZLAR'!$D$6:$D$45=A157)*('YILDIZ KIZLAR'!$E$6:$E$45="Takım"),'YILDIZ KIZLAR'!$S$6:$S$45,0),{1,2,3})),0)</f>
        <v/>
      </c>
      <c r="E157" s="53">
        <f>IFERROR(SUMPRODUCT(LARGE(IF(('YILDIZ KIZLAR'!$D$6:$D$45=A157)*('YILDIZ KIZLAR'!$E$6:$E$45="Takım"),'YILDIZ KIZLAR'!$X$6:$X$45,0),{1,2,3})),0)</f>
        <v/>
      </c>
      <c r="F157" s="36">
        <f>B157+C157+D157+E157</f>
        <v/>
      </c>
      <c r="G157" s="51" t="n">
        <v>0</v>
      </c>
      <c r="H157" s="36">
        <f>IF(A157="","",F157-IFERROR(G157+0,0))</f>
        <v/>
      </c>
      <c r="I157" s="37">
        <f>IF(A157="","-",RANK.EQ(H157,$H$150:$H$169,0))</f>
        <v/>
      </c>
    </row>
    <row r="158">
      <c r="A158" s="50" t="n"/>
      <c r="B158" s="33">
        <f>IFERROR(SUMPRODUCT(LARGE(IF(('YILDIZ KIZLAR'!$D$6:$D$45=A158)*('YILDIZ KIZLAR'!$E$6:$E$45="Takım"),'YILDIZ KIZLAR'!$I$6:$I$45,0),{1,2,3})),0)</f>
        <v/>
      </c>
      <c r="C158" s="33">
        <f>IFERROR(SUMPRODUCT(LARGE(IF(('YILDIZ KIZLAR'!$D$6:$D$45=A158)*('YILDIZ KIZLAR'!$E$6:$E$45="Takım"),'YILDIZ KIZLAR'!$N$6:$N$45,0),{1,2,3})),0)</f>
        <v/>
      </c>
      <c r="D158" s="33">
        <f>IFERROR(SUMPRODUCT(LARGE(IF(('YILDIZ KIZLAR'!$D$6:$D$45=A158)*('YILDIZ KIZLAR'!$E$6:$E$45="Takım"),'YILDIZ KIZLAR'!$S$6:$S$45,0),{1,2,3})),0)</f>
        <v/>
      </c>
      <c r="E158" s="33">
        <f>IFERROR(SUMPRODUCT(LARGE(IF(('YILDIZ KIZLAR'!$D$6:$D$45=A158)*('YILDIZ KIZLAR'!$E$6:$E$45="Takım"),'YILDIZ KIZLAR'!$X$6:$X$45,0),{1,2,3})),0)</f>
        <v/>
      </c>
      <c r="F158" s="36">
        <f>B158+C158+D158+E158</f>
        <v/>
      </c>
      <c r="G158" s="51" t="n">
        <v>0</v>
      </c>
      <c r="H158" s="36">
        <f>IF(A158="","",F158-IFERROR(G158+0,0))</f>
        <v/>
      </c>
      <c r="I158" s="37">
        <f>IF(A158="","-",RANK.EQ(H158,$H$150:$H$169,0))</f>
        <v/>
      </c>
    </row>
    <row r="159">
      <c r="A159" s="52" t="n"/>
      <c r="B159" s="53">
        <f>IFERROR(SUMPRODUCT(LARGE(IF(('YILDIZ KIZLAR'!$D$6:$D$45=A159)*('YILDIZ KIZLAR'!$E$6:$E$45="Takım"),'YILDIZ KIZLAR'!$I$6:$I$45,0),{1,2,3})),0)</f>
        <v/>
      </c>
      <c r="C159" s="53">
        <f>IFERROR(SUMPRODUCT(LARGE(IF(('YILDIZ KIZLAR'!$D$6:$D$45=A159)*('YILDIZ KIZLAR'!$E$6:$E$45="Takım"),'YILDIZ KIZLAR'!$N$6:$N$45,0),{1,2,3})),0)</f>
        <v/>
      </c>
      <c r="D159" s="53">
        <f>IFERROR(SUMPRODUCT(LARGE(IF(('YILDIZ KIZLAR'!$D$6:$D$45=A159)*('YILDIZ KIZLAR'!$E$6:$E$45="Takım"),'YILDIZ KIZLAR'!$S$6:$S$45,0),{1,2,3})),0)</f>
        <v/>
      </c>
      <c r="E159" s="53">
        <f>IFERROR(SUMPRODUCT(LARGE(IF(('YILDIZ KIZLAR'!$D$6:$D$45=A159)*('YILDIZ KIZLAR'!$E$6:$E$45="Takım"),'YILDIZ KIZLAR'!$X$6:$X$45,0),{1,2,3})),0)</f>
        <v/>
      </c>
      <c r="F159" s="36">
        <f>B159+C159+D159+E159</f>
        <v/>
      </c>
      <c r="G159" s="51" t="n">
        <v>0</v>
      </c>
      <c r="H159" s="36">
        <f>IF(A159="","",F159-IFERROR(G159+0,0))</f>
        <v/>
      </c>
      <c r="I159" s="37">
        <f>IF(A159="","-",RANK.EQ(H159,$H$150:$H$169,0))</f>
        <v/>
      </c>
    </row>
    <row r="160">
      <c r="A160" s="50" t="n"/>
      <c r="B160" s="33">
        <f>IFERROR(SUMPRODUCT(LARGE(IF(('YILDIZ KIZLAR'!$D$6:$D$45=A160)*('YILDIZ KIZLAR'!$E$6:$E$45="Takım"),'YILDIZ KIZLAR'!$I$6:$I$45,0),{1,2,3})),0)</f>
        <v/>
      </c>
      <c r="C160" s="33">
        <f>IFERROR(SUMPRODUCT(LARGE(IF(('YILDIZ KIZLAR'!$D$6:$D$45=A160)*('YILDIZ KIZLAR'!$E$6:$E$45="Takım"),'YILDIZ KIZLAR'!$N$6:$N$45,0),{1,2,3})),0)</f>
        <v/>
      </c>
      <c r="D160" s="33">
        <f>IFERROR(SUMPRODUCT(LARGE(IF(('YILDIZ KIZLAR'!$D$6:$D$45=A160)*('YILDIZ KIZLAR'!$E$6:$E$45="Takım"),'YILDIZ KIZLAR'!$S$6:$S$45,0),{1,2,3})),0)</f>
        <v/>
      </c>
      <c r="E160" s="33">
        <f>IFERROR(SUMPRODUCT(LARGE(IF(('YILDIZ KIZLAR'!$D$6:$D$45=A160)*('YILDIZ KIZLAR'!$E$6:$E$45="Takım"),'YILDIZ KIZLAR'!$X$6:$X$45,0),{1,2,3})),0)</f>
        <v/>
      </c>
      <c r="F160" s="36">
        <f>B160+C160+D160+E160</f>
        <v/>
      </c>
      <c r="G160" s="51" t="n">
        <v>0</v>
      </c>
      <c r="H160" s="36">
        <f>IF(A160="","",F160-IFERROR(G160+0,0))</f>
        <v/>
      </c>
      <c r="I160" s="37">
        <f>IF(A160="","-",RANK.EQ(H160,$H$150:$H$169,0))</f>
        <v/>
      </c>
    </row>
    <row r="161">
      <c r="A161" s="52" t="n"/>
      <c r="B161" s="53">
        <f>IFERROR(SUMPRODUCT(LARGE(IF(('YILDIZ KIZLAR'!$D$6:$D$45=A161)*('YILDIZ KIZLAR'!$E$6:$E$45="Takım"),'YILDIZ KIZLAR'!$I$6:$I$45,0),{1,2,3})),0)</f>
        <v/>
      </c>
      <c r="C161" s="53">
        <f>IFERROR(SUMPRODUCT(LARGE(IF(('YILDIZ KIZLAR'!$D$6:$D$45=A161)*('YILDIZ KIZLAR'!$E$6:$E$45="Takım"),'YILDIZ KIZLAR'!$N$6:$N$45,0),{1,2,3})),0)</f>
        <v/>
      </c>
      <c r="D161" s="53">
        <f>IFERROR(SUMPRODUCT(LARGE(IF(('YILDIZ KIZLAR'!$D$6:$D$45=A161)*('YILDIZ KIZLAR'!$E$6:$E$45="Takım"),'YILDIZ KIZLAR'!$S$6:$S$45,0),{1,2,3})),0)</f>
        <v/>
      </c>
      <c r="E161" s="53">
        <f>IFERROR(SUMPRODUCT(LARGE(IF(('YILDIZ KIZLAR'!$D$6:$D$45=A161)*('YILDIZ KIZLAR'!$E$6:$E$45="Takım"),'YILDIZ KIZLAR'!$X$6:$X$45,0),{1,2,3})),0)</f>
        <v/>
      </c>
      <c r="F161" s="36">
        <f>B161+C161+D161+E161</f>
        <v/>
      </c>
      <c r="G161" s="51" t="n">
        <v>0</v>
      </c>
      <c r="H161" s="36">
        <f>IF(A161="","",F161-IFERROR(G161+0,0))</f>
        <v/>
      </c>
      <c r="I161" s="37">
        <f>IF(A161="","-",RANK.EQ(H161,$H$150:$H$169,0))</f>
        <v/>
      </c>
    </row>
    <row r="162">
      <c r="A162" s="50" t="n"/>
      <c r="B162" s="33">
        <f>IFERROR(SUMPRODUCT(LARGE(IF(('YILDIZ KIZLAR'!$D$6:$D$45=A162)*('YILDIZ KIZLAR'!$E$6:$E$45="Takım"),'YILDIZ KIZLAR'!$I$6:$I$45,0),{1,2,3})),0)</f>
        <v/>
      </c>
      <c r="C162" s="33">
        <f>IFERROR(SUMPRODUCT(LARGE(IF(('YILDIZ KIZLAR'!$D$6:$D$45=A162)*('YILDIZ KIZLAR'!$E$6:$E$45="Takım"),'YILDIZ KIZLAR'!$N$6:$N$45,0),{1,2,3})),0)</f>
        <v/>
      </c>
      <c r="D162" s="33">
        <f>IFERROR(SUMPRODUCT(LARGE(IF(('YILDIZ KIZLAR'!$D$6:$D$45=A162)*('YILDIZ KIZLAR'!$E$6:$E$45="Takım"),'YILDIZ KIZLAR'!$S$6:$S$45,0),{1,2,3})),0)</f>
        <v/>
      </c>
      <c r="E162" s="33">
        <f>IFERROR(SUMPRODUCT(LARGE(IF(('YILDIZ KIZLAR'!$D$6:$D$45=A162)*('YILDIZ KIZLAR'!$E$6:$E$45="Takım"),'YILDIZ KIZLAR'!$X$6:$X$45,0),{1,2,3})),0)</f>
        <v/>
      </c>
      <c r="F162" s="36">
        <f>B162+C162+D162+E162</f>
        <v/>
      </c>
      <c r="G162" s="51" t="n">
        <v>0</v>
      </c>
      <c r="H162" s="36">
        <f>IF(A162="","",F162-IFERROR(G162+0,0))</f>
        <v/>
      </c>
      <c r="I162" s="37">
        <f>IF(A162="","-",RANK.EQ(H162,$H$150:$H$169,0))</f>
        <v/>
      </c>
    </row>
    <row r="163">
      <c r="A163" s="52" t="n"/>
      <c r="B163" s="53">
        <f>IFERROR(SUMPRODUCT(LARGE(IF(('YILDIZ KIZLAR'!$D$6:$D$45=A163)*('YILDIZ KIZLAR'!$E$6:$E$45="Takım"),'YILDIZ KIZLAR'!$I$6:$I$45,0),{1,2,3})),0)</f>
        <v/>
      </c>
      <c r="C163" s="53">
        <f>IFERROR(SUMPRODUCT(LARGE(IF(('YILDIZ KIZLAR'!$D$6:$D$45=A163)*('YILDIZ KIZLAR'!$E$6:$E$45="Takım"),'YILDIZ KIZLAR'!$N$6:$N$45,0),{1,2,3})),0)</f>
        <v/>
      </c>
      <c r="D163" s="53">
        <f>IFERROR(SUMPRODUCT(LARGE(IF(('YILDIZ KIZLAR'!$D$6:$D$45=A163)*('YILDIZ KIZLAR'!$E$6:$E$45="Takım"),'YILDIZ KIZLAR'!$S$6:$S$45,0),{1,2,3})),0)</f>
        <v/>
      </c>
      <c r="E163" s="53">
        <f>IFERROR(SUMPRODUCT(LARGE(IF(('YILDIZ KIZLAR'!$D$6:$D$45=A163)*('YILDIZ KIZLAR'!$E$6:$E$45="Takım"),'YILDIZ KIZLAR'!$X$6:$X$45,0),{1,2,3})),0)</f>
        <v/>
      </c>
      <c r="F163" s="36">
        <f>B163+C163+D163+E163</f>
        <v/>
      </c>
      <c r="G163" s="51" t="n">
        <v>0</v>
      </c>
      <c r="H163" s="36">
        <f>IF(A163="","",F163-IFERROR(G163+0,0))</f>
        <v/>
      </c>
      <c r="I163" s="37">
        <f>IF(A163="","-",RANK.EQ(H163,$H$150:$H$169,0))</f>
        <v/>
      </c>
    </row>
    <row r="164">
      <c r="A164" s="50" t="n"/>
      <c r="B164" s="33">
        <f>IFERROR(SUMPRODUCT(LARGE(IF(('YILDIZ KIZLAR'!$D$6:$D$45=A164)*('YILDIZ KIZLAR'!$E$6:$E$45="Takım"),'YILDIZ KIZLAR'!$I$6:$I$45,0),{1,2,3})),0)</f>
        <v/>
      </c>
      <c r="C164" s="33">
        <f>IFERROR(SUMPRODUCT(LARGE(IF(('YILDIZ KIZLAR'!$D$6:$D$45=A164)*('YILDIZ KIZLAR'!$E$6:$E$45="Takım"),'YILDIZ KIZLAR'!$N$6:$N$45,0),{1,2,3})),0)</f>
        <v/>
      </c>
      <c r="D164" s="33">
        <f>IFERROR(SUMPRODUCT(LARGE(IF(('YILDIZ KIZLAR'!$D$6:$D$45=A164)*('YILDIZ KIZLAR'!$E$6:$E$45="Takım"),'YILDIZ KIZLAR'!$S$6:$S$45,0),{1,2,3})),0)</f>
        <v/>
      </c>
      <c r="E164" s="33">
        <f>IFERROR(SUMPRODUCT(LARGE(IF(('YILDIZ KIZLAR'!$D$6:$D$45=A164)*('YILDIZ KIZLAR'!$E$6:$E$45="Takım"),'YILDIZ KIZLAR'!$X$6:$X$45,0),{1,2,3})),0)</f>
        <v/>
      </c>
      <c r="F164" s="36">
        <f>B164+C164+D164+E164</f>
        <v/>
      </c>
      <c r="G164" s="51" t="n">
        <v>0</v>
      </c>
      <c r="H164" s="36">
        <f>IF(A164="","",F164-IFERROR(G164+0,0))</f>
        <v/>
      </c>
      <c r="I164" s="37">
        <f>IF(A164="","-",RANK.EQ(H164,$H$150:$H$169,0))</f>
        <v/>
      </c>
    </row>
    <row r="165">
      <c r="A165" s="52" t="n"/>
      <c r="B165" s="53">
        <f>IFERROR(SUMPRODUCT(LARGE(IF(('YILDIZ KIZLAR'!$D$6:$D$45=A165)*('YILDIZ KIZLAR'!$E$6:$E$45="Takım"),'YILDIZ KIZLAR'!$I$6:$I$45,0),{1,2,3})),0)</f>
        <v/>
      </c>
      <c r="C165" s="53">
        <f>IFERROR(SUMPRODUCT(LARGE(IF(('YILDIZ KIZLAR'!$D$6:$D$45=A165)*('YILDIZ KIZLAR'!$E$6:$E$45="Takım"),'YILDIZ KIZLAR'!$N$6:$N$45,0),{1,2,3})),0)</f>
        <v/>
      </c>
      <c r="D165" s="53">
        <f>IFERROR(SUMPRODUCT(LARGE(IF(('YILDIZ KIZLAR'!$D$6:$D$45=A165)*('YILDIZ KIZLAR'!$E$6:$E$45="Takım"),'YILDIZ KIZLAR'!$S$6:$S$45,0),{1,2,3})),0)</f>
        <v/>
      </c>
      <c r="E165" s="53">
        <f>IFERROR(SUMPRODUCT(LARGE(IF(('YILDIZ KIZLAR'!$D$6:$D$45=A165)*('YILDIZ KIZLAR'!$E$6:$E$45="Takım"),'YILDIZ KIZLAR'!$X$6:$X$45,0),{1,2,3})),0)</f>
        <v/>
      </c>
      <c r="F165" s="36">
        <f>B165+C165+D165+E165</f>
        <v/>
      </c>
      <c r="G165" s="51" t="n">
        <v>0</v>
      </c>
      <c r="H165" s="36">
        <f>IF(A165="","",F165-IFERROR(G165+0,0))</f>
        <v/>
      </c>
      <c r="I165" s="37">
        <f>IF(A165="","-",RANK.EQ(H165,$H$150:$H$169,0))</f>
        <v/>
      </c>
    </row>
    <row r="166">
      <c r="A166" s="50" t="n"/>
      <c r="B166" s="33">
        <f>IFERROR(SUMPRODUCT(LARGE(IF(('YILDIZ KIZLAR'!$D$6:$D$45=A166)*('YILDIZ KIZLAR'!$E$6:$E$45="Takım"),'YILDIZ KIZLAR'!$I$6:$I$45,0),{1,2,3})),0)</f>
        <v/>
      </c>
      <c r="C166" s="33">
        <f>IFERROR(SUMPRODUCT(LARGE(IF(('YILDIZ KIZLAR'!$D$6:$D$45=A166)*('YILDIZ KIZLAR'!$E$6:$E$45="Takım"),'YILDIZ KIZLAR'!$N$6:$N$45,0),{1,2,3})),0)</f>
        <v/>
      </c>
      <c r="D166" s="33">
        <f>IFERROR(SUMPRODUCT(LARGE(IF(('YILDIZ KIZLAR'!$D$6:$D$45=A166)*('YILDIZ KIZLAR'!$E$6:$E$45="Takım"),'YILDIZ KIZLAR'!$S$6:$S$45,0),{1,2,3})),0)</f>
        <v/>
      </c>
      <c r="E166" s="33">
        <f>IFERROR(SUMPRODUCT(LARGE(IF(('YILDIZ KIZLAR'!$D$6:$D$45=A166)*('YILDIZ KIZLAR'!$E$6:$E$45="Takım"),'YILDIZ KIZLAR'!$X$6:$X$45,0),{1,2,3})),0)</f>
        <v/>
      </c>
      <c r="F166" s="36">
        <f>B166+C166+D166+E166</f>
        <v/>
      </c>
      <c r="G166" s="51" t="n">
        <v>0</v>
      </c>
      <c r="H166" s="36">
        <f>IF(A166="","",F166-IFERROR(G166+0,0))</f>
        <v/>
      </c>
      <c r="I166" s="37">
        <f>IF(A166="","-",RANK.EQ(H166,$H$150:$H$169,0))</f>
        <v/>
      </c>
    </row>
    <row r="167">
      <c r="A167" s="52" t="n"/>
      <c r="B167" s="53">
        <f>IFERROR(SUMPRODUCT(LARGE(IF(('YILDIZ KIZLAR'!$D$6:$D$45=A167)*('YILDIZ KIZLAR'!$E$6:$E$45="Takım"),'YILDIZ KIZLAR'!$I$6:$I$45,0),{1,2,3})),0)</f>
        <v/>
      </c>
      <c r="C167" s="53">
        <f>IFERROR(SUMPRODUCT(LARGE(IF(('YILDIZ KIZLAR'!$D$6:$D$45=A167)*('YILDIZ KIZLAR'!$E$6:$E$45="Takım"),'YILDIZ KIZLAR'!$N$6:$N$45,0),{1,2,3})),0)</f>
        <v/>
      </c>
      <c r="D167" s="53">
        <f>IFERROR(SUMPRODUCT(LARGE(IF(('YILDIZ KIZLAR'!$D$6:$D$45=A167)*('YILDIZ KIZLAR'!$E$6:$E$45="Takım"),'YILDIZ KIZLAR'!$S$6:$S$45,0),{1,2,3})),0)</f>
        <v/>
      </c>
      <c r="E167" s="53">
        <f>IFERROR(SUMPRODUCT(LARGE(IF(('YILDIZ KIZLAR'!$D$6:$D$45=A167)*('YILDIZ KIZLAR'!$E$6:$E$45="Takım"),'YILDIZ KIZLAR'!$X$6:$X$45,0),{1,2,3})),0)</f>
        <v/>
      </c>
      <c r="F167" s="36">
        <f>B167+C167+D167+E167</f>
        <v/>
      </c>
      <c r="G167" s="51" t="n">
        <v>0</v>
      </c>
      <c r="H167" s="36">
        <f>IF(A167="","",F167-IFERROR(G167+0,0))</f>
        <v/>
      </c>
      <c r="I167" s="37">
        <f>IF(A167="","-",RANK.EQ(H167,$H$150:$H$169,0))</f>
        <v/>
      </c>
    </row>
    <row r="168">
      <c r="A168" s="50" t="n"/>
      <c r="B168" s="33">
        <f>IFERROR(SUMPRODUCT(LARGE(IF(('YILDIZ KIZLAR'!$D$6:$D$45=A168)*('YILDIZ KIZLAR'!$E$6:$E$45="Takım"),'YILDIZ KIZLAR'!$I$6:$I$45,0),{1,2,3})),0)</f>
        <v/>
      </c>
      <c r="C168" s="33">
        <f>IFERROR(SUMPRODUCT(LARGE(IF(('YILDIZ KIZLAR'!$D$6:$D$45=A168)*('YILDIZ KIZLAR'!$E$6:$E$45="Takım"),'YILDIZ KIZLAR'!$N$6:$N$45,0),{1,2,3})),0)</f>
        <v/>
      </c>
      <c r="D168" s="33">
        <f>IFERROR(SUMPRODUCT(LARGE(IF(('YILDIZ KIZLAR'!$D$6:$D$45=A168)*('YILDIZ KIZLAR'!$E$6:$E$45="Takım"),'YILDIZ KIZLAR'!$S$6:$S$45,0),{1,2,3})),0)</f>
        <v/>
      </c>
      <c r="E168" s="33">
        <f>IFERROR(SUMPRODUCT(LARGE(IF(('YILDIZ KIZLAR'!$D$6:$D$45=A168)*('YILDIZ KIZLAR'!$E$6:$E$45="Takım"),'YILDIZ KIZLAR'!$X$6:$X$45,0),{1,2,3})),0)</f>
        <v/>
      </c>
      <c r="F168" s="36">
        <f>B168+C168+D168+E168</f>
        <v/>
      </c>
      <c r="G168" s="51" t="n">
        <v>0</v>
      </c>
      <c r="H168" s="36">
        <f>IF(A168="","",F168-IFERROR(G168+0,0))</f>
        <v/>
      </c>
      <c r="I168" s="37">
        <f>IF(A168="","-",RANK.EQ(H168,$H$150:$H$169,0))</f>
        <v/>
      </c>
    </row>
    <row r="169">
      <c r="A169" s="52" t="n"/>
      <c r="B169" s="53">
        <f>IFERROR(SUMPRODUCT(LARGE(IF(('YILDIZ KIZLAR'!$D$6:$D$45=A169)*('YILDIZ KIZLAR'!$E$6:$E$45="Takım"),'YILDIZ KIZLAR'!$I$6:$I$45,0),{1,2,3})),0)</f>
        <v/>
      </c>
      <c r="C169" s="53">
        <f>IFERROR(SUMPRODUCT(LARGE(IF(('YILDIZ KIZLAR'!$D$6:$D$45=A169)*('YILDIZ KIZLAR'!$E$6:$E$45="Takım"),'YILDIZ KIZLAR'!$N$6:$N$45,0),{1,2,3})),0)</f>
        <v/>
      </c>
      <c r="D169" s="53">
        <f>IFERROR(SUMPRODUCT(LARGE(IF(('YILDIZ KIZLAR'!$D$6:$D$45=A169)*('YILDIZ KIZLAR'!$E$6:$E$45="Takım"),'YILDIZ KIZLAR'!$S$6:$S$45,0),{1,2,3})),0)</f>
        <v/>
      </c>
      <c r="E169" s="53">
        <f>IFERROR(SUMPRODUCT(LARGE(IF(('YILDIZ KIZLAR'!$D$6:$D$45=A169)*('YILDIZ KIZLAR'!$E$6:$E$45="Takım"),'YILDIZ KIZLAR'!$X$6:$X$45,0),{1,2,3})),0)</f>
        <v/>
      </c>
      <c r="F169" s="36">
        <f>B169+C169+D169+E169</f>
        <v/>
      </c>
      <c r="G169" s="51" t="n">
        <v>0</v>
      </c>
      <c r="H169" s="36">
        <f>IF(A169="","",F169-IFERROR(G169+0,0))</f>
        <v/>
      </c>
      <c r="I169" s="37">
        <f>IF(A169="","-",RANK.EQ(H169,$H$150:$H$169,0))</f>
        <v/>
      </c>
    </row>
    <row r="172" ht="24" customHeight="1">
      <c r="A172" s="54" t="inlineStr">
        <is>
          <t>YILDIZ ERKEKLER  —  TAKIM SIRALAMASI</t>
        </is>
      </c>
    </row>
    <row r="173" ht="22" customHeight="1">
      <c r="A173" s="27" t="inlineStr">
        <is>
          <t>TAKIM ADI</t>
        </is>
      </c>
      <c r="B173" s="27" t="inlineStr">
        <is>
          <t>En İyi 3
FX</t>
        </is>
      </c>
      <c r="C173" s="27" t="inlineStr">
        <is>
          <t>En İyi 3
PH</t>
        </is>
      </c>
      <c r="D173" s="27" t="inlineStr">
        <is>
          <t>En İyi 3
SR</t>
        </is>
      </c>
      <c r="E173" s="27" t="inlineStr">
        <is>
          <t>En İyi 3
VT</t>
        </is>
      </c>
      <c r="F173" s="27" t="inlineStr">
        <is>
          <t>En İyi 3
PB</t>
        </is>
      </c>
      <c r="G173" s="27" t="inlineStr">
        <is>
          <t>En İyi 3
HB</t>
        </is>
      </c>
      <c r="H173" s="27" t="inlineStr">
        <is>
          <t>TOPLAM</t>
        </is>
      </c>
      <c r="I173" s="27" t="inlineStr">
        <is>
          <t>KESİNTİ</t>
        </is>
      </c>
      <c r="J173" s="27" t="inlineStr">
        <is>
          <t>FİNAL PUAN</t>
        </is>
      </c>
      <c r="K173" s="27" t="inlineStr">
        <is>
          <t>SIRALAMA</t>
        </is>
      </c>
    </row>
    <row r="174">
      <c r="A174" s="50" t="n"/>
      <c r="B174" s="33">
        <f>IFERROR(SUMPRODUCT(LARGE(IF(('YILDIZ ERKEKLER'!$D$6:$D$45=A174)*('YILDIZ ERKEKLER'!$E$6:$E$45="Takım"),'YILDIZ ERKEKLER'!$I$6:$I$45,0),{1,2,3})),0)</f>
        <v/>
      </c>
      <c r="C174" s="33">
        <f>IFERROR(SUMPRODUCT(LARGE(IF(('YILDIZ ERKEKLER'!$D$6:$D$45=A174)*('YILDIZ ERKEKLER'!$E$6:$E$45="Takım"),'YILDIZ ERKEKLER'!$N$6:$N$45,0),{1,2,3})),0)</f>
        <v/>
      </c>
      <c r="D174" s="33">
        <f>IFERROR(SUMPRODUCT(LARGE(IF(('YILDIZ ERKEKLER'!$D$6:$D$45=A174)*('YILDIZ ERKEKLER'!$E$6:$E$45="Takım"),'YILDIZ ERKEKLER'!$S$6:$S$45,0),{1,2,3})),0)</f>
        <v/>
      </c>
      <c r="E174" s="33">
        <f>IFERROR(SUMPRODUCT(LARGE(IF(('YILDIZ ERKEKLER'!$D$6:$D$45=A174)*('YILDIZ ERKEKLER'!$E$6:$E$45="Takım"),'YILDIZ ERKEKLER'!$X$6:$X$45,0),{1,2,3})),0)</f>
        <v/>
      </c>
      <c r="F174" s="33">
        <f>IFERROR(SUMPRODUCT(LARGE(IF(('YILDIZ ERKEKLER'!$D$6:$D$45=A174)*('YILDIZ ERKEKLER'!$E$6:$E$45="Takım"),'YILDIZ ERKEKLER'!$AC$6:$AC$45,0),{1,2,3})),0)</f>
        <v/>
      </c>
      <c r="G174" s="33">
        <f>IFERROR(SUMPRODUCT(LARGE(IF(('YILDIZ ERKEKLER'!$D$6:$D$45=A174)*('YILDIZ ERKEKLER'!$E$6:$E$45="Takım"),'YILDIZ ERKEKLER'!$AH$6:$AH$45,0),{1,2,3})),0)</f>
        <v/>
      </c>
      <c r="H174" s="36">
        <f>B174+C174+D174+E174+F174+G174</f>
        <v/>
      </c>
      <c r="I174" s="51" t="n">
        <v>0</v>
      </c>
      <c r="J174" s="36">
        <f>IF(A174="","",H174-IFERROR(I174+0,0))</f>
        <v/>
      </c>
      <c r="K174" s="37">
        <f>IF(A174="","-",RANK.EQ(J174,$J$174:$J$193,0))</f>
        <v/>
      </c>
    </row>
    <row r="175">
      <c r="A175" s="52" t="n"/>
      <c r="B175" s="53">
        <f>IFERROR(SUMPRODUCT(LARGE(IF(('YILDIZ ERKEKLER'!$D$6:$D$45=A175)*('YILDIZ ERKEKLER'!$E$6:$E$45="Takım"),'YILDIZ ERKEKLER'!$I$6:$I$45,0),{1,2,3})),0)</f>
        <v/>
      </c>
      <c r="C175" s="53">
        <f>IFERROR(SUMPRODUCT(LARGE(IF(('YILDIZ ERKEKLER'!$D$6:$D$45=A175)*('YILDIZ ERKEKLER'!$E$6:$E$45="Takım"),'YILDIZ ERKEKLER'!$N$6:$N$45,0),{1,2,3})),0)</f>
        <v/>
      </c>
      <c r="D175" s="53">
        <f>IFERROR(SUMPRODUCT(LARGE(IF(('YILDIZ ERKEKLER'!$D$6:$D$45=A175)*('YILDIZ ERKEKLER'!$E$6:$E$45="Takım"),'YILDIZ ERKEKLER'!$S$6:$S$45,0),{1,2,3})),0)</f>
        <v/>
      </c>
      <c r="E175" s="53">
        <f>IFERROR(SUMPRODUCT(LARGE(IF(('YILDIZ ERKEKLER'!$D$6:$D$45=A175)*('YILDIZ ERKEKLER'!$E$6:$E$45="Takım"),'YILDIZ ERKEKLER'!$X$6:$X$45,0),{1,2,3})),0)</f>
        <v/>
      </c>
      <c r="F175" s="53">
        <f>IFERROR(SUMPRODUCT(LARGE(IF(('YILDIZ ERKEKLER'!$D$6:$D$45=A175)*('YILDIZ ERKEKLER'!$E$6:$E$45="Takım"),'YILDIZ ERKEKLER'!$AC$6:$AC$45,0),{1,2,3})),0)</f>
        <v/>
      </c>
      <c r="G175" s="53">
        <f>IFERROR(SUMPRODUCT(LARGE(IF(('YILDIZ ERKEKLER'!$D$6:$D$45=A175)*('YILDIZ ERKEKLER'!$E$6:$E$45="Takım"),'YILDIZ ERKEKLER'!$AH$6:$AH$45,0),{1,2,3})),0)</f>
        <v/>
      </c>
      <c r="H175" s="36">
        <f>B175+C175+D175+E175+F175+G175</f>
        <v/>
      </c>
      <c r="I175" s="51" t="n">
        <v>0</v>
      </c>
      <c r="J175" s="36">
        <f>IF(A175="","",H175-IFERROR(I175+0,0))</f>
        <v/>
      </c>
      <c r="K175" s="37">
        <f>IF(A175="","-",RANK.EQ(J175,$J$174:$J$193,0))</f>
        <v/>
      </c>
    </row>
    <row r="176">
      <c r="A176" s="50" t="n"/>
      <c r="B176" s="33">
        <f>IFERROR(SUMPRODUCT(LARGE(IF(('YILDIZ ERKEKLER'!$D$6:$D$45=A176)*('YILDIZ ERKEKLER'!$E$6:$E$45="Takım"),'YILDIZ ERKEKLER'!$I$6:$I$45,0),{1,2,3})),0)</f>
        <v/>
      </c>
      <c r="C176" s="33">
        <f>IFERROR(SUMPRODUCT(LARGE(IF(('YILDIZ ERKEKLER'!$D$6:$D$45=A176)*('YILDIZ ERKEKLER'!$E$6:$E$45="Takım"),'YILDIZ ERKEKLER'!$N$6:$N$45,0),{1,2,3})),0)</f>
        <v/>
      </c>
      <c r="D176" s="33">
        <f>IFERROR(SUMPRODUCT(LARGE(IF(('YILDIZ ERKEKLER'!$D$6:$D$45=A176)*('YILDIZ ERKEKLER'!$E$6:$E$45="Takım"),'YILDIZ ERKEKLER'!$S$6:$S$45,0),{1,2,3})),0)</f>
        <v/>
      </c>
      <c r="E176" s="33">
        <f>IFERROR(SUMPRODUCT(LARGE(IF(('YILDIZ ERKEKLER'!$D$6:$D$45=A176)*('YILDIZ ERKEKLER'!$E$6:$E$45="Takım"),'YILDIZ ERKEKLER'!$X$6:$X$45,0),{1,2,3})),0)</f>
        <v/>
      </c>
      <c r="F176" s="33">
        <f>IFERROR(SUMPRODUCT(LARGE(IF(('YILDIZ ERKEKLER'!$D$6:$D$45=A176)*('YILDIZ ERKEKLER'!$E$6:$E$45="Takım"),'YILDIZ ERKEKLER'!$AC$6:$AC$45,0),{1,2,3})),0)</f>
        <v/>
      </c>
      <c r="G176" s="33">
        <f>IFERROR(SUMPRODUCT(LARGE(IF(('YILDIZ ERKEKLER'!$D$6:$D$45=A176)*('YILDIZ ERKEKLER'!$E$6:$E$45="Takım"),'YILDIZ ERKEKLER'!$AH$6:$AH$45,0),{1,2,3})),0)</f>
        <v/>
      </c>
      <c r="H176" s="36">
        <f>B176+C176+D176+E176+F176+G176</f>
        <v/>
      </c>
      <c r="I176" s="51" t="n">
        <v>0</v>
      </c>
      <c r="J176" s="36">
        <f>IF(A176="","",H176-IFERROR(I176+0,0))</f>
        <v/>
      </c>
      <c r="K176" s="37">
        <f>IF(A176="","-",RANK.EQ(J176,$J$174:$J$193,0))</f>
        <v/>
      </c>
    </row>
    <row r="177">
      <c r="A177" s="52" t="n"/>
      <c r="B177" s="53">
        <f>IFERROR(SUMPRODUCT(LARGE(IF(('YILDIZ ERKEKLER'!$D$6:$D$45=A177)*('YILDIZ ERKEKLER'!$E$6:$E$45="Takım"),'YILDIZ ERKEKLER'!$I$6:$I$45,0),{1,2,3})),0)</f>
        <v/>
      </c>
      <c r="C177" s="53">
        <f>IFERROR(SUMPRODUCT(LARGE(IF(('YILDIZ ERKEKLER'!$D$6:$D$45=A177)*('YILDIZ ERKEKLER'!$E$6:$E$45="Takım"),'YILDIZ ERKEKLER'!$N$6:$N$45,0),{1,2,3})),0)</f>
        <v/>
      </c>
      <c r="D177" s="53">
        <f>IFERROR(SUMPRODUCT(LARGE(IF(('YILDIZ ERKEKLER'!$D$6:$D$45=A177)*('YILDIZ ERKEKLER'!$E$6:$E$45="Takım"),'YILDIZ ERKEKLER'!$S$6:$S$45,0),{1,2,3})),0)</f>
        <v/>
      </c>
      <c r="E177" s="53">
        <f>IFERROR(SUMPRODUCT(LARGE(IF(('YILDIZ ERKEKLER'!$D$6:$D$45=A177)*('YILDIZ ERKEKLER'!$E$6:$E$45="Takım"),'YILDIZ ERKEKLER'!$X$6:$X$45,0),{1,2,3})),0)</f>
        <v/>
      </c>
      <c r="F177" s="53">
        <f>IFERROR(SUMPRODUCT(LARGE(IF(('YILDIZ ERKEKLER'!$D$6:$D$45=A177)*('YILDIZ ERKEKLER'!$E$6:$E$45="Takım"),'YILDIZ ERKEKLER'!$AC$6:$AC$45,0),{1,2,3})),0)</f>
        <v/>
      </c>
      <c r="G177" s="53">
        <f>IFERROR(SUMPRODUCT(LARGE(IF(('YILDIZ ERKEKLER'!$D$6:$D$45=A177)*('YILDIZ ERKEKLER'!$E$6:$E$45="Takım"),'YILDIZ ERKEKLER'!$AH$6:$AH$45,0),{1,2,3})),0)</f>
        <v/>
      </c>
      <c r="H177" s="36">
        <f>B177+C177+D177+E177+F177+G177</f>
        <v/>
      </c>
      <c r="I177" s="51" t="n">
        <v>0</v>
      </c>
      <c r="J177" s="36">
        <f>IF(A177="","",H177-IFERROR(I177+0,0))</f>
        <v/>
      </c>
      <c r="K177" s="37">
        <f>IF(A177="","-",RANK.EQ(J177,$J$174:$J$193,0))</f>
        <v/>
      </c>
    </row>
    <row r="178">
      <c r="A178" s="50" t="n"/>
      <c r="B178" s="33">
        <f>IFERROR(SUMPRODUCT(LARGE(IF(('YILDIZ ERKEKLER'!$D$6:$D$45=A178)*('YILDIZ ERKEKLER'!$E$6:$E$45="Takım"),'YILDIZ ERKEKLER'!$I$6:$I$45,0),{1,2,3})),0)</f>
        <v/>
      </c>
      <c r="C178" s="33">
        <f>IFERROR(SUMPRODUCT(LARGE(IF(('YILDIZ ERKEKLER'!$D$6:$D$45=A178)*('YILDIZ ERKEKLER'!$E$6:$E$45="Takım"),'YILDIZ ERKEKLER'!$N$6:$N$45,0),{1,2,3})),0)</f>
        <v/>
      </c>
      <c r="D178" s="33">
        <f>IFERROR(SUMPRODUCT(LARGE(IF(('YILDIZ ERKEKLER'!$D$6:$D$45=A178)*('YILDIZ ERKEKLER'!$E$6:$E$45="Takım"),'YILDIZ ERKEKLER'!$S$6:$S$45,0),{1,2,3})),0)</f>
        <v/>
      </c>
      <c r="E178" s="33">
        <f>IFERROR(SUMPRODUCT(LARGE(IF(('YILDIZ ERKEKLER'!$D$6:$D$45=A178)*('YILDIZ ERKEKLER'!$E$6:$E$45="Takım"),'YILDIZ ERKEKLER'!$X$6:$X$45,0),{1,2,3})),0)</f>
        <v/>
      </c>
      <c r="F178" s="33">
        <f>IFERROR(SUMPRODUCT(LARGE(IF(('YILDIZ ERKEKLER'!$D$6:$D$45=A178)*('YILDIZ ERKEKLER'!$E$6:$E$45="Takım"),'YILDIZ ERKEKLER'!$AC$6:$AC$45,0),{1,2,3})),0)</f>
        <v/>
      </c>
      <c r="G178" s="33">
        <f>IFERROR(SUMPRODUCT(LARGE(IF(('YILDIZ ERKEKLER'!$D$6:$D$45=A178)*('YILDIZ ERKEKLER'!$E$6:$E$45="Takım"),'YILDIZ ERKEKLER'!$AH$6:$AH$45,0),{1,2,3})),0)</f>
        <v/>
      </c>
      <c r="H178" s="36">
        <f>B178+C178+D178+E178+F178+G178</f>
        <v/>
      </c>
      <c r="I178" s="51" t="n">
        <v>0</v>
      </c>
      <c r="J178" s="36">
        <f>IF(A178="","",H178-IFERROR(I178+0,0))</f>
        <v/>
      </c>
      <c r="K178" s="37">
        <f>IF(A178="","-",RANK.EQ(J178,$J$174:$J$193,0))</f>
        <v/>
      </c>
    </row>
    <row r="179">
      <c r="A179" s="52" t="n"/>
      <c r="B179" s="53">
        <f>IFERROR(SUMPRODUCT(LARGE(IF(('YILDIZ ERKEKLER'!$D$6:$D$45=A179)*('YILDIZ ERKEKLER'!$E$6:$E$45="Takım"),'YILDIZ ERKEKLER'!$I$6:$I$45,0),{1,2,3})),0)</f>
        <v/>
      </c>
      <c r="C179" s="53">
        <f>IFERROR(SUMPRODUCT(LARGE(IF(('YILDIZ ERKEKLER'!$D$6:$D$45=A179)*('YILDIZ ERKEKLER'!$E$6:$E$45="Takım"),'YILDIZ ERKEKLER'!$N$6:$N$45,0),{1,2,3})),0)</f>
        <v/>
      </c>
      <c r="D179" s="53">
        <f>IFERROR(SUMPRODUCT(LARGE(IF(('YILDIZ ERKEKLER'!$D$6:$D$45=A179)*('YILDIZ ERKEKLER'!$E$6:$E$45="Takım"),'YILDIZ ERKEKLER'!$S$6:$S$45,0),{1,2,3})),0)</f>
        <v/>
      </c>
      <c r="E179" s="53">
        <f>IFERROR(SUMPRODUCT(LARGE(IF(('YILDIZ ERKEKLER'!$D$6:$D$45=A179)*('YILDIZ ERKEKLER'!$E$6:$E$45="Takım"),'YILDIZ ERKEKLER'!$X$6:$X$45,0),{1,2,3})),0)</f>
        <v/>
      </c>
      <c r="F179" s="53">
        <f>IFERROR(SUMPRODUCT(LARGE(IF(('YILDIZ ERKEKLER'!$D$6:$D$45=A179)*('YILDIZ ERKEKLER'!$E$6:$E$45="Takım"),'YILDIZ ERKEKLER'!$AC$6:$AC$45,0),{1,2,3})),0)</f>
        <v/>
      </c>
      <c r="G179" s="53">
        <f>IFERROR(SUMPRODUCT(LARGE(IF(('YILDIZ ERKEKLER'!$D$6:$D$45=A179)*('YILDIZ ERKEKLER'!$E$6:$E$45="Takım"),'YILDIZ ERKEKLER'!$AH$6:$AH$45,0),{1,2,3})),0)</f>
        <v/>
      </c>
      <c r="H179" s="36">
        <f>B179+C179+D179+E179+F179+G179</f>
        <v/>
      </c>
      <c r="I179" s="51" t="n">
        <v>0</v>
      </c>
      <c r="J179" s="36">
        <f>IF(A179="","",H179-IFERROR(I179+0,0))</f>
        <v/>
      </c>
      <c r="K179" s="37">
        <f>IF(A179="","-",RANK.EQ(J179,$J$174:$J$193,0))</f>
        <v/>
      </c>
    </row>
    <row r="180">
      <c r="A180" s="50" t="n"/>
      <c r="B180" s="33">
        <f>IFERROR(SUMPRODUCT(LARGE(IF(('YILDIZ ERKEKLER'!$D$6:$D$45=A180)*('YILDIZ ERKEKLER'!$E$6:$E$45="Takım"),'YILDIZ ERKEKLER'!$I$6:$I$45,0),{1,2,3})),0)</f>
        <v/>
      </c>
      <c r="C180" s="33">
        <f>IFERROR(SUMPRODUCT(LARGE(IF(('YILDIZ ERKEKLER'!$D$6:$D$45=A180)*('YILDIZ ERKEKLER'!$E$6:$E$45="Takım"),'YILDIZ ERKEKLER'!$N$6:$N$45,0),{1,2,3})),0)</f>
        <v/>
      </c>
      <c r="D180" s="33">
        <f>IFERROR(SUMPRODUCT(LARGE(IF(('YILDIZ ERKEKLER'!$D$6:$D$45=A180)*('YILDIZ ERKEKLER'!$E$6:$E$45="Takım"),'YILDIZ ERKEKLER'!$S$6:$S$45,0),{1,2,3})),0)</f>
        <v/>
      </c>
      <c r="E180" s="33">
        <f>IFERROR(SUMPRODUCT(LARGE(IF(('YILDIZ ERKEKLER'!$D$6:$D$45=A180)*('YILDIZ ERKEKLER'!$E$6:$E$45="Takım"),'YILDIZ ERKEKLER'!$X$6:$X$45,0),{1,2,3})),0)</f>
        <v/>
      </c>
      <c r="F180" s="33">
        <f>IFERROR(SUMPRODUCT(LARGE(IF(('YILDIZ ERKEKLER'!$D$6:$D$45=A180)*('YILDIZ ERKEKLER'!$E$6:$E$45="Takım"),'YILDIZ ERKEKLER'!$AC$6:$AC$45,0),{1,2,3})),0)</f>
        <v/>
      </c>
      <c r="G180" s="33">
        <f>IFERROR(SUMPRODUCT(LARGE(IF(('YILDIZ ERKEKLER'!$D$6:$D$45=A180)*('YILDIZ ERKEKLER'!$E$6:$E$45="Takım"),'YILDIZ ERKEKLER'!$AH$6:$AH$45,0),{1,2,3})),0)</f>
        <v/>
      </c>
      <c r="H180" s="36">
        <f>B180+C180+D180+E180+F180+G180</f>
        <v/>
      </c>
      <c r="I180" s="51" t="n">
        <v>0</v>
      </c>
      <c r="J180" s="36">
        <f>IF(A180="","",H180-IFERROR(I180+0,0))</f>
        <v/>
      </c>
      <c r="K180" s="37">
        <f>IF(A180="","-",RANK.EQ(J180,$J$174:$J$193,0))</f>
        <v/>
      </c>
    </row>
    <row r="181">
      <c r="A181" s="52" t="n"/>
      <c r="B181" s="53">
        <f>IFERROR(SUMPRODUCT(LARGE(IF(('YILDIZ ERKEKLER'!$D$6:$D$45=A181)*('YILDIZ ERKEKLER'!$E$6:$E$45="Takım"),'YILDIZ ERKEKLER'!$I$6:$I$45,0),{1,2,3})),0)</f>
        <v/>
      </c>
      <c r="C181" s="53">
        <f>IFERROR(SUMPRODUCT(LARGE(IF(('YILDIZ ERKEKLER'!$D$6:$D$45=A181)*('YILDIZ ERKEKLER'!$E$6:$E$45="Takım"),'YILDIZ ERKEKLER'!$N$6:$N$45,0),{1,2,3})),0)</f>
        <v/>
      </c>
      <c r="D181" s="53">
        <f>IFERROR(SUMPRODUCT(LARGE(IF(('YILDIZ ERKEKLER'!$D$6:$D$45=A181)*('YILDIZ ERKEKLER'!$E$6:$E$45="Takım"),'YILDIZ ERKEKLER'!$S$6:$S$45,0),{1,2,3})),0)</f>
        <v/>
      </c>
      <c r="E181" s="53">
        <f>IFERROR(SUMPRODUCT(LARGE(IF(('YILDIZ ERKEKLER'!$D$6:$D$45=A181)*('YILDIZ ERKEKLER'!$E$6:$E$45="Takım"),'YILDIZ ERKEKLER'!$X$6:$X$45,0),{1,2,3})),0)</f>
        <v/>
      </c>
      <c r="F181" s="53">
        <f>IFERROR(SUMPRODUCT(LARGE(IF(('YILDIZ ERKEKLER'!$D$6:$D$45=A181)*('YILDIZ ERKEKLER'!$E$6:$E$45="Takım"),'YILDIZ ERKEKLER'!$AC$6:$AC$45,0),{1,2,3})),0)</f>
        <v/>
      </c>
      <c r="G181" s="53">
        <f>IFERROR(SUMPRODUCT(LARGE(IF(('YILDIZ ERKEKLER'!$D$6:$D$45=A181)*('YILDIZ ERKEKLER'!$E$6:$E$45="Takım"),'YILDIZ ERKEKLER'!$AH$6:$AH$45,0),{1,2,3})),0)</f>
        <v/>
      </c>
      <c r="H181" s="36">
        <f>B181+C181+D181+E181+F181+G181</f>
        <v/>
      </c>
      <c r="I181" s="51" t="n">
        <v>0</v>
      </c>
      <c r="J181" s="36">
        <f>IF(A181="","",H181-IFERROR(I181+0,0))</f>
        <v/>
      </c>
      <c r="K181" s="37">
        <f>IF(A181="","-",RANK.EQ(J181,$J$174:$J$193,0))</f>
        <v/>
      </c>
    </row>
    <row r="182">
      <c r="A182" s="50" t="n"/>
      <c r="B182" s="33">
        <f>IFERROR(SUMPRODUCT(LARGE(IF(('YILDIZ ERKEKLER'!$D$6:$D$45=A182)*('YILDIZ ERKEKLER'!$E$6:$E$45="Takım"),'YILDIZ ERKEKLER'!$I$6:$I$45,0),{1,2,3})),0)</f>
        <v/>
      </c>
      <c r="C182" s="33">
        <f>IFERROR(SUMPRODUCT(LARGE(IF(('YILDIZ ERKEKLER'!$D$6:$D$45=A182)*('YILDIZ ERKEKLER'!$E$6:$E$45="Takım"),'YILDIZ ERKEKLER'!$N$6:$N$45,0),{1,2,3})),0)</f>
        <v/>
      </c>
      <c r="D182" s="33">
        <f>IFERROR(SUMPRODUCT(LARGE(IF(('YILDIZ ERKEKLER'!$D$6:$D$45=A182)*('YILDIZ ERKEKLER'!$E$6:$E$45="Takım"),'YILDIZ ERKEKLER'!$S$6:$S$45,0),{1,2,3})),0)</f>
        <v/>
      </c>
      <c r="E182" s="33">
        <f>IFERROR(SUMPRODUCT(LARGE(IF(('YILDIZ ERKEKLER'!$D$6:$D$45=A182)*('YILDIZ ERKEKLER'!$E$6:$E$45="Takım"),'YILDIZ ERKEKLER'!$X$6:$X$45,0),{1,2,3})),0)</f>
        <v/>
      </c>
      <c r="F182" s="33">
        <f>IFERROR(SUMPRODUCT(LARGE(IF(('YILDIZ ERKEKLER'!$D$6:$D$45=A182)*('YILDIZ ERKEKLER'!$E$6:$E$45="Takım"),'YILDIZ ERKEKLER'!$AC$6:$AC$45,0),{1,2,3})),0)</f>
        <v/>
      </c>
      <c r="G182" s="33">
        <f>IFERROR(SUMPRODUCT(LARGE(IF(('YILDIZ ERKEKLER'!$D$6:$D$45=A182)*('YILDIZ ERKEKLER'!$E$6:$E$45="Takım"),'YILDIZ ERKEKLER'!$AH$6:$AH$45,0),{1,2,3})),0)</f>
        <v/>
      </c>
      <c r="H182" s="36">
        <f>B182+C182+D182+E182+F182+G182</f>
        <v/>
      </c>
      <c r="I182" s="51" t="n">
        <v>0</v>
      </c>
      <c r="J182" s="36">
        <f>IF(A182="","",H182-IFERROR(I182+0,0))</f>
        <v/>
      </c>
      <c r="K182" s="37">
        <f>IF(A182="","-",RANK.EQ(J182,$J$174:$J$193,0))</f>
        <v/>
      </c>
    </row>
    <row r="183">
      <c r="A183" s="52" t="n"/>
      <c r="B183" s="53">
        <f>IFERROR(SUMPRODUCT(LARGE(IF(('YILDIZ ERKEKLER'!$D$6:$D$45=A183)*('YILDIZ ERKEKLER'!$E$6:$E$45="Takım"),'YILDIZ ERKEKLER'!$I$6:$I$45,0),{1,2,3})),0)</f>
        <v/>
      </c>
      <c r="C183" s="53">
        <f>IFERROR(SUMPRODUCT(LARGE(IF(('YILDIZ ERKEKLER'!$D$6:$D$45=A183)*('YILDIZ ERKEKLER'!$E$6:$E$45="Takım"),'YILDIZ ERKEKLER'!$N$6:$N$45,0),{1,2,3})),0)</f>
        <v/>
      </c>
      <c r="D183" s="53">
        <f>IFERROR(SUMPRODUCT(LARGE(IF(('YILDIZ ERKEKLER'!$D$6:$D$45=A183)*('YILDIZ ERKEKLER'!$E$6:$E$45="Takım"),'YILDIZ ERKEKLER'!$S$6:$S$45,0),{1,2,3})),0)</f>
        <v/>
      </c>
      <c r="E183" s="53">
        <f>IFERROR(SUMPRODUCT(LARGE(IF(('YILDIZ ERKEKLER'!$D$6:$D$45=A183)*('YILDIZ ERKEKLER'!$E$6:$E$45="Takım"),'YILDIZ ERKEKLER'!$X$6:$X$45,0),{1,2,3})),0)</f>
        <v/>
      </c>
      <c r="F183" s="53">
        <f>IFERROR(SUMPRODUCT(LARGE(IF(('YILDIZ ERKEKLER'!$D$6:$D$45=A183)*('YILDIZ ERKEKLER'!$E$6:$E$45="Takım"),'YILDIZ ERKEKLER'!$AC$6:$AC$45,0),{1,2,3})),0)</f>
        <v/>
      </c>
      <c r="G183" s="53">
        <f>IFERROR(SUMPRODUCT(LARGE(IF(('YILDIZ ERKEKLER'!$D$6:$D$45=A183)*('YILDIZ ERKEKLER'!$E$6:$E$45="Takım"),'YILDIZ ERKEKLER'!$AH$6:$AH$45,0),{1,2,3})),0)</f>
        <v/>
      </c>
      <c r="H183" s="36">
        <f>B183+C183+D183+E183+F183+G183</f>
        <v/>
      </c>
      <c r="I183" s="51" t="n">
        <v>0</v>
      </c>
      <c r="J183" s="36">
        <f>IF(A183="","",H183-IFERROR(I183+0,0))</f>
        <v/>
      </c>
      <c r="K183" s="37">
        <f>IF(A183="","-",RANK.EQ(J183,$J$174:$J$193,0))</f>
        <v/>
      </c>
    </row>
    <row r="184">
      <c r="A184" s="50" t="n"/>
      <c r="B184" s="33">
        <f>IFERROR(SUMPRODUCT(LARGE(IF(('YILDIZ ERKEKLER'!$D$6:$D$45=A184)*('YILDIZ ERKEKLER'!$E$6:$E$45="Takım"),'YILDIZ ERKEKLER'!$I$6:$I$45,0),{1,2,3})),0)</f>
        <v/>
      </c>
      <c r="C184" s="33">
        <f>IFERROR(SUMPRODUCT(LARGE(IF(('YILDIZ ERKEKLER'!$D$6:$D$45=A184)*('YILDIZ ERKEKLER'!$E$6:$E$45="Takım"),'YILDIZ ERKEKLER'!$N$6:$N$45,0),{1,2,3})),0)</f>
        <v/>
      </c>
      <c r="D184" s="33">
        <f>IFERROR(SUMPRODUCT(LARGE(IF(('YILDIZ ERKEKLER'!$D$6:$D$45=A184)*('YILDIZ ERKEKLER'!$E$6:$E$45="Takım"),'YILDIZ ERKEKLER'!$S$6:$S$45,0),{1,2,3})),0)</f>
        <v/>
      </c>
      <c r="E184" s="33">
        <f>IFERROR(SUMPRODUCT(LARGE(IF(('YILDIZ ERKEKLER'!$D$6:$D$45=A184)*('YILDIZ ERKEKLER'!$E$6:$E$45="Takım"),'YILDIZ ERKEKLER'!$X$6:$X$45,0),{1,2,3})),0)</f>
        <v/>
      </c>
      <c r="F184" s="33">
        <f>IFERROR(SUMPRODUCT(LARGE(IF(('YILDIZ ERKEKLER'!$D$6:$D$45=A184)*('YILDIZ ERKEKLER'!$E$6:$E$45="Takım"),'YILDIZ ERKEKLER'!$AC$6:$AC$45,0),{1,2,3})),0)</f>
        <v/>
      </c>
      <c r="G184" s="33">
        <f>IFERROR(SUMPRODUCT(LARGE(IF(('YILDIZ ERKEKLER'!$D$6:$D$45=A184)*('YILDIZ ERKEKLER'!$E$6:$E$45="Takım"),'YILDIZ ERKEKLER'!$AH$6:$AH$45,0),{1,2,3})),0)</f>
        <v/>
      </c>
      <c r="H184" s="36">
        <f>B184+C184+D184+E184+F184+G184</f>
        <v/>
      </c>
      <c r="I184" s="51" t="n">
        <v>0</v>
      </c>
      <c r="J184" s="36">
        <f>IF(A184="","",H184-IFERROR(I184+0,0))</f>
        <v/>
      </c>
      <c r="K184" s="37">
        <f>IF(A184="","-",RANK.EQ(J184,$J$174:$J$193,0))</f>
        <v/>
      </c>
    </row>
    <row r="185">
      <c r="A185" s="52" t="n"/>
      <c r="B185" s="53">
        <f>IFERROR(SUMPRODUCT(LARGE(IF(('YILDIZ ERKEKLER'!$D$6:$D$45=A185)*('YILDIZ ERKEKLER'!$E$6:$E$45="Takım"),'YILDIZ ERKEKLER'!$I$6:$I$45,0),{1,2,3})),0)</f>
        <v/>
      </c>
      <c r="C185" s="53">
        <f>IFERROR(SUMPRODUCT(LARGE(IF(('YILDIZ ERKEKLER'!$D$6:$D$45=A185)*('YILDIZ ERKEKLER'!$E$6:$E$45="Takım"),'YILDIZ ERKEKLER'!$N$6:$N$45,0),{1,2,3})),0)</f>
        <v/>
      </c>
      <c r="D185" s="53">
        <f>IFERROR(SUMPRODUCT(LARGE(IF(('YILDIZ ERKEKLER'!$D$6:$D$45=A185)*('YILDIZ ERKEKLER'!$E$6:$E$45="Takım"),'YILDIZ ERKEKLER'!$S$6:$S$45,0),{1,2,3})),0)</f>
        <v/>
      </c>
      <c r="E185" s="53">
        <f>IFERROR(SUMPRODUCT(LARGE(IF(('YILDIZ ERKEKLER'!$D$6:$D$45=A185)*('YILDIZ ERKEKLER'!$E$6:$E$45="Takım"),'YILDIZ ERKEKLER'!$X$6:$X$45,0),{1,2,3})),0)</f>
        <v/>
      </c>
      <c r="F185" s="53">
        <f>IFERROR(SUMPRODUCT(LARGE(IF(('YILDIZ ERKEKLER'!$D$6:$D$45=A185)*('YILDIZ ERKEKLER'!$E$6:$E$45="Takım"),'YILDIZ ERKEKLER'!$AC$6:$AC$45,0),{1,2,3})),0)</f>
        <v/>
      </c>
      <c r="G185" s="53">
        <f>IFERROR(SUMPRODUCT(LARGE(IF(('YILDIZ ERKEKLER'!$D$6:$D$45=A185)*('YILDIZ ERKEKLER'!$E$6:$E$45="Takım"),'YILDIZ ERKEKLER'!$AH$6:$AH$45,0),{1,2,3})),0)</f>
        <v/>
      </c>
      <c r="H185" s="36">
        <f>B185+C185+D185+E185+F185+G185</f>
        <v/>
      </c>
      <c r="I185" s="51" t="n">
        <v>0</v>
      </c>
      <c r="J185" s="36">
        <f>IF(A185="","",H185-IFERROR(I185+0,0))</f>
        <v/>
      </c>
      <c r="K185" s="37">
        <f>IF(A185="","-",RANK.EQ(J185,$J$174:$J$193,0))</f>
        <v/>
      </c>
    </row>
    <row r="186">
      <c r="A186" s="50" t="n"/>
      <c r="B186" s="33">
        <f>IFERROR(SUMPRODUCT(LARGE(IF(('YILDIZ ERKEKLER'!$D$6:$D$45=A186)*('YILDIZ ERKEKLER'!$E$6:$E$45="Takım"),'YILDIZ ERKEKLER'!$I$6:$I$45,0),{1,2,3})),0)</f>
        <v/>
      </c>
      <c r="C186" s="33">
        <f>IFERROR(SUMPRODUCT(LARGE(IF(('YILDIZ ERKEKLER'!$D$6:$D$45=A186)*('YILDIZ ERKEKLER'!$E$6:$E$45="Takım"),'YILDIZ ERKEKLER'!$N$6:$N$45,0),{1,2,3})),0)</f>
        <v/>
      </c>
      <c r="D186" s="33">
        <f>IFERROR(SUMPRODUCT(LARGE(IF(('YILDIZ ERKEKLER'!$D$6:$D$45=A186)*('YILDIZ ERKEKLER'!$E$6:$E$45="Takım"),'YILDIZ ERKEKLER'!$S$6:$S$45,0),{1,2,3})),0)</f>
        <v/>
      </c>
      <c r="E186" s="33">
        <f>IFERROR(SUMPRODUCT(LARGE(IF(('YILDIZ ERKEKLER'!$D$6:$D$45=A186)*('YILDIZ ERKEKLER'!$E$6:$E$45="Takım"),'YILDIZ ERKEKLER'!$X$6:$X$45,0),{1,2,3})),0)</f>
        <v/>
      </c>
      <c r="F186" s="33">
        <f>IFERROR(SUMPRODUCT(LARGE(IF(('YILDIZ ERKEKLER'!$D$6:$D$45=A186)*('YILDIZ ERKEKLER'!$E$6:$E$45="Takım"),'YILDIZ ERKEKLER'!$AC$6:$AC$45,0),{1,2,3})),0)</f>
        <v/>
      </c>
      <c r="G186" s="33">
        <f>IFERROR(SUMPRODUCT(LARGE(IF(('YILDIZ ERKEKLER'!$D$6:$D$45=A186)*('YILDIZ ERKEKLER'!$E$6:$E$45="Takım"),'YILDIZ ERKEKLER'!$AH$6:$AH$45,0),{1,2,3})),0)</f>
        <v/>
      </c>
      <c r="H186" s="36">
        <f>B186+C186+D186+E186+F186+G186</f>
        <v/>
      </c>
      <c r="I186" s="51" t="n">
        <v>0</v>
      </c>
      <c r="J186" s="36">
        <f>IF(A186="","",H186-IFERROR(I186+0,0))</f>
        <v/>
      </c>
      <c r="K186" s="37">
        <f>IF(A186="","-",RANK.EQ(J186,$J$174:$J$193,0))</f>
        <v/>
      </c>
    </row>
    <row r="187">
      <c r="A187" s="52" t="n"/>
      <c r="B187" s="53">
        <f>IFERROR(SUMPRODUCT(LARGE(IF(('YILDIZ ERKEKLER'!$D$6:$D$45=A187)*('YILDIZ ERKEKLER'!$E$6:$E$45="Takım"),'YILDIZ ERKEKLER'!$I$6:$I$45,0),{1,2,3})),0)</f>
        <v/>
      </c>
      <c r="C187" s="53">
        <f>IFERROR(SUMPRODUCT(LARGE(IF(('YILDIZ ERKEKLER'!$D$6:$D$45=A187)*('YILDIZ ERKEKLER'!$E$6:$E$45="Takım"),'YILDIZ ERKEKLER'!$N$6:$N$45,0),{1,2,3})),0)</f>
        <v/>
      </c>
      <c r="D187" s="53">
        <f>IFERROR(SUMPRODUCT(LARGE(IF(('YILDIZ ERKEKLER'!$D$6:$D$45=A187)*('YILDIZ ERKEKLER'!$E$6:$E$45="Takım"),'YILDIZ ERKEKLER'!$S$6:$S$45,0),{1,2,3})),0)</f>
        <v/>
      </c>
      <c r="E187" s="53">
        <f>IFERROR(SUMPRODUCT(LARGE(IF(('YILDIZ ERKEKLER'!$D$6:$D$45=A187)*('YILDIZ ERKEKLER'!$E$6:$E$45="Takım"),'YILDIZ ERKEKLER'!$X$6:$X$45,0),{1,2,3})),0)</f>
        <v/>
      </c>
      <c r="F187" s="53">
        <f>IFERROR(SUMPRODUCT(LARGE(IF(('YILDIZ ERKEKLER'!$D$6:$D$45=A187)*('YILDIZ ERKEKLER'!$E$6:$E$45="Takım"),'YILDIZ ERKEKLER'!$AC$6:$AC$45,0),{1,2,3})),0)</f>
        <v/>
      </c>
      <c r="G187" s="53">
        <f>IFERROR(SUMPRODUCT(LARGE(IF(('YILDIZ ERKEKLER'!$D$6:$D$45=A187)*('YILDIZ ERKEKLER'!$E$6:$E$45="Takım"),'YILDIZ ERKEKLER'!$AH$6:$AH$45,0),{1,2,3})),0)</f>
        <v/>
      </c>
      <c r="H187" s="36">
        <f>B187+C187+D187+E187+F187+G187</f>
        <v/>
      </c>
      <c r="I187" s="51" t="n">
        <v>0</v>
      </c>
      <c r="J187" s="36">
        <f>IF(A187="","",H187-IFERROR(I187+0,0))</f>
        <v/>
      </c>
      <c r="K187" s="37">
        <f>IF(A187="","-",RANK.EQ(J187,$J$174:$J$193,0))</f>
        <v/>
      </c>
    </row>
    <row r="188">
      <c r="A188" s="50" t="n"/>
      <c r="B188" s="33">
        <f>IFERROR(SUMPRODUCT(LARGE(IF(('YILDIZ ERKEKLER'!$D$6:$D$45=A188)*('YILDIZ ERKEKLER'!$E$6:$E$45="Takım"),'YILDIZ ERKEKLER'!$I$6:$I$45,0),{1,2,3})),0)</f>
        <v/>
      </c>
      <c r="C188" s="33">
        <f>IFERROR(SUMPRODUCT(LARGE(IF(('YILDIZ ERKEKLER'!$D$6:$D$45=A188)*('YILDIZ ERKEKLER'!$E$6:$E$45="Takım"),'YILDIZ ERKEKLER'!$N$6:$N$45,0),{1,2,3})),0)</f>
        <v/>
      </c>
      <c r="D188" s="33">
        <f>IFERROR(SUMPRODUCT(LARGE(IF(('YILDIZ ERKEKLER'!$D$6:$D$45=A188)*('YILDIZ ERKEKLER'!$E$6:$E$45="Takım"),'YILDIZ ERKEKLER'!$S$6:$S$45,0),{1,2,3})),0)</f>
        <v/>
      </c>
      <c r="E188" s="33">
        <f>IFERROR(SUMPRODUCT(LARGE(IF(('YILDIZ ERKEKLER'!$D$6:$D$45=A188)*('YILDIZ ERKEKLER'!$E$6:$E$45="Takım"),'YILDIZ ERKEKLER'!$X$6:$X$45,0),{1,2,3})),0)</f>
        <v/>
      </c>
      <c r="F188" s="33">
        <f>IFERROR(SUMPRODUCT(LARGE(IF(('YILDIZ ERKEKLER'!$D$6:$D$45=A188)*('YILDIZ ERKEKLER'!$E$6:$E$45="Takım"),'YILDIZ ERKEKLER'!$AC$6:$AC$45,0),{1,2,3})),0)</f>
        <v/>
      </c>
      <c r="G188" s="33">
        <f>IFERROR(SUMPRODUCT(LARGE(IF(('YILDIZ ERKEKLER'!$D$6:$D$45=A188)*('YILDIZ ERKEKLER'!$E$6:$E$45="Takım"),'YILDIZ ERKEKLER'!$AH$6:$AH$45,0),{1,2,3})),0)</f>
        <v/>
      </c>
      <c r="H188" s="36">
        <f>B188+C188+D188+E188+F188+G188</f>
        <v/>
      </c>
      <c r="I188" s="51" t="n">
        <v>0</v>
      </c>
      <c r="J188" s="36">
        <f>IF(A188="","",H188-IFERROR(I188+0,0))</f>
        <v/>
      </c>
      <c r="K188" s="37">
        <f>IF(A188="","-",RANK.EQ(J188,$J$174:$J$193,0))</f>
        <v/>
      </c>
    </row>
    <row r="189">
      <c r="A189" s="52" t="n"/>
      <c r="B189" s="53">
        <f>IFERROR(SUMPRODUCT(LARGE(IF(('YILDIZ ERKEKLER'!$D$6:$D$45=A189)*('YILDIZ ERKEKLER'!$E$6:$E$45="Takım"),'YILDIZ ERKEKLER'!$I$6:$I$45,0),{1,2,3})),0)</f>
        <v/>
      </c>
      <c r="C189" s="53">
        <f>IFERROR(SUMPRODUCT(LARGE(IF(('YILDIZ ERKEKLER'!$D$6:$D$45=A189)*('YILDIZ ERKEKLER'!$E$6:$E$45="Takım"),'YILDIZ ERKEKLER'!$N$6:$N$45,0),{1,2,3})),0)</f>
        <v/>
      </c>
      <c r="D189" s="53">
        <f>IFERROR(SUMPRODUCT(LARGE(IF(('YILDIZ ERKEKLER'!$D$6:$D$45=A189)*('YILDIZ ERKEKLER'!$E$6:$E$45="Takım"),'YILDIZ ERKEKLER'!$S$6:$S$45,0),{1,2,3})),0)</f>
        <v/>
      </c>
      <c r="E189" s="53">
        <f>IFERROR(SUMPRODUCT(LARGE(IF(('YILDIZ ERKEKLER'!$D$6:$D$45=A189)*('YILDIZ ERKEKLER'!$E$6:$E$45="Takım"),'YILDIZ ERKEKLER'!$X$6:$X$45,0),{1,2,3})),0)</f>
        <v/>
      </c>
      <c r="F189" s="53">
        <f>IFERROR(SUMPRODUCT(LARGE(IF(('YILDIZ ERKEKLER'!$D$6:$D$45=A189)*('YILDIZ ERKEKLER'!$E$6:$E$45="Takım"),'YILDIZ ERKEKLER'!$AC$6:$AC$45,0),{1,2,3})),0)</f>
        <v/>
      </c>
      <c r="G189" s="53">
        <f>IFERROR(SUMPRODUCT(LARGE(IF(('YILDIZ ERKEKLER'!$D$6:$D$45=A189)*('YILDIZ ERKEKLER'!$E$6:$E$45="Takım"),'YILDIZ ERKEKLER'!$AH$6:$AH$45,0),{1,2,3})),0)</f>
        <v/>
      </c>
      <c r="H189" s="36">
        <f>B189+C189+D189+E189+F189+G189</f>
        <v/>
      </c>
      <c r="I189" s="51" t="n">
        <v>0</v>
      </c>
      <c r="J189" s="36">
        <f>IF(A189="","",H189-IFERROR(I189+0,0))</f>
        <v/>
      </c>
      <c r="K189" s="37">
        <f>IF(A189="","-",RANK.EQ(J189,$J$174:$J$193,0))</f>
        <v/>
      </c>
    </row>
    <row r="190">
      <c r="A190" s="50" t="n"/>
      <c r="B190" s="33">
        <f>IFERROR(SUMPRODUCT(LARGE(IF(('YILDIZ ERKEKLER'!$D$6:$D$45=A190)*('YILDIZ ERKEKLER'!$E$6:$E$45="Takım"),'YILDIZ ERKEKLER'!$I$6:$I$45,0),{1,2,3})),0)</f>
        <v/>
      </c>
      <c r="C190" s="33">
        <f>IFERROR(SUMPRODUCT(LARGE(IF(('YILDIZ ERKEKLER'!$D$6:$D$45=A190)*('YILDIZ ERKEKLER'!$E$6:$E$45="Takım"),'YILDIZ ERKEKLER'!$N$6:$N$45,0),{1,2,3})),0)</f>
        <v/>
      </c>
      <c r="D190" s="33">
        <f>IFERROR(SUMPRODUCT(LARGE(IF(('YILDIZ ERKEKLER'!$D$6:$D$45=A190)*('YILDIZ ERKEKLER'!$E$6:$E$45="Takım"),'YILDIZ ERKEKLER'!$S$6:$S$45,0),{1,2,3})),0)</f>
        <v/>
      </c>
      <c r="E190" s="33">
        <f>IFERROR(SUMPRODUCT(LARGE(IF(('YILDIZ ERKEKLER'!$D$6:$D$45=A190)*('YILDIZ ERKEKLER'!$E$6:$E$45="Takım"),'YILDIZ ERKEKLER'!$X$6:$X$45,0),{1,2,3})),0)</f>
        <v/>
      </c>
      <c r="F190" s="33">
        <f>IFERROR(SUMPRODUCT(LARGE(IF(('YILDIZ ERKEKLER'!$D$6:$D$45=A190)*('YILDIZ ERKEKLER'!$E$6:$E$45="Takım"),'YILDIZ ERKEKLER'!$AC$6:$AC$45,0),{1,2,3})),0)</f>
        <v/>
      </c>
      <c r="G190" s="33">
        <f>IFERROR(SUMPRODUCT(LARGE(IF(('YILDIZ ERKEKLER'!$D$6:$D$45=A190)*('YILDIZ ERKEKLER'!$E$6:$E$45="Takım"),'YILDIZ ERKEKLER'!$AH$6:$AH$45,0),{1,2,3})),0)</f>
        <v/>
      </c>
      <c r="H190" s="36">
        <f>B190+C190+D190+E190+F190+G190</f>
        <v/>
      </c>
      <c r="I190" s="51" t="n">
        <v>0</v>
      </c>
      <c r="J190" s="36">
        <f>IF(A190="","",H190-IFERROR(I190+0,0))</f>
        <v/>
      </c>
      <c r="K190" s="37">
        <f>IF(A190="","-",RANK.EQ(J190,$J$174:$J$193,0))</f>
        <v/>
      </c>
    </row>
    <row r="191">
      <c r="A191" s="52" t="n"/>
      <c r="B191" s="53">
        <f>IFERROR(SUMPRODUCT(LARGE(IF(('YILDIZ ERKEKLER'!$D$6:$D$45=A191)*('YILDIZ ERKEKLER'!$E$6:$E$45="Takım"),'YILDIZ ERKEKLER'!$I$6:$I$45,0),{1,2,3})),0)</f>
        <v/>
      </c>
      <c r="C191" s="53">
        <f>IFERROR(SUMPRODUCT(LARGE(IF(('YILDIZ ERKEKLER'!$D$6:$D$45=A191)*('YILDIZ ERKEKLER'!$E$6:$E$45="Takım"),'YILDIZ ERKEKLER'!$N$6:$N$45,0),{1,2,3})),0)</f>
        <v/>
      </c>
      <c r="D191" s="53">
        <f>IFERROR(SUMPRODUCT(LARGE(IF(('YILDIZ ERKEKLER'!$D$6:$D$45=A191)*('YILDIZ ERKEKLER'!$E$6:$E$45="Takım"),'YILDIZ ERKEKLER'!$S$6:$S$45,0),{1,2,3})),0)</f>
        <v/>
      </c>
      <c r="E191" s="53">
        <f>IFERROR(SUMPRODUCT(LARGE(IF(('YILDIZ ERKEKLER'!$D$6:$D$45=A191)*('YILDIZ ERKEKLER'!$E$6:$E$45="Takım"),'YILDIZ ERKEKLER'!$X$6:$X$45,0),{1,2,3})),0)</f>
        <v/>
      </c>
      <c r="F191" s="53">
        <f>IFERROR(SUMPRODUCT(LARGE(IF(('YILDIZ ERKEKLER'!$D$6:$D$45=A191)*('YILDIZ ERKEKLER'!$E$6:$E$45="Takım"),'YILDIZ ERKEKLER'!$AC$6:$AC$45,0),{1,2,3})),0)</f>
        <v/>
      </c>
      <c r="G191" s="53">
        <f>IFERROR(SUMPRODUCT(LARGE(IF(('YILDIZ ERKEKLER'!$D$6:$D$45=A191)*('YILDIZ ERKEKLER'!$E$6:$E$45="Takım"),'YILDIZ ERKEKLER'!$AH$6:$AH$45,0),{1,2,3})),0)</f>
        <v/>
      </c>
      <c r="H191" s="36">
        <f>B191+C191+D191+E191+F191+G191</f>
        <v/>
      </c>
      <c r="I191" s="51" t="n">
        <v>0</v>
      </c>
      <c r="J191" s="36">
        <f>IF(A191="","",H191-IFERROR(I191+0,0))</f>
        <v/>
      </c>
      <c r="K191" s="37">
        <f>IF(A191="","-",RANK.EQ(J191,$J$174:$J$193,0))</f>
        <v/>
      </c>
    </row>
    <row r="192">
      <c r="A192" s="50" t="n"/>
      <c r="B192" s="33">
        <f>IFERROR(SUMPRODUCT(LARGE(IF(('YILDIZ ERKEKLER'!$D$6:$D$45=A192)*('YILDIZ ERKEKLER'!$E$6:$E$45="Takım"),'YILDIZ ERKEKLER'!$I$6:$I$45,0),{1,2,3})),0)</f>
        <v/>
      </c>
      <c r="C192" s="33">
        <f>IFERROR(SUMPRODUCT(LARGE(IF(('YILDIZ ERKEKLER'!$D$6:$D$45=A192)*('YILDIZ ERKEKLER'!$E$6:$E$45="Takım"),'YILDIZ ERKEKLER'!$N$6:$N$45,0),{1,2,3})),0)</f>
        <v/>
      </c>
      <c r="D192" s="33">
        <f>IFERROR(SUMPRODUCT(LARGE(IF(('YILDIZ ERKEKLER'!$D$6:$D$45=A192)*('YILDIZ ERKEKLER'!$E$6:$E$45="Takım"),'YILDIZ ERKEKLER'!$S$6:$S$45,0),{1,2,3})),0)</f>
        <v/>
      </c>
      <c r="E192" s="33">
        <f>IFERROR(SUMPRODUCT(LARGE(IF(('YILDIZ ERKEKLER'!$D$6:$D$45=A192)*('YILDIZ ERKEKLER'!$E$6:$E$45="Takım"),'YILDIZ ERKEKLER'!$X$6:$X$45,0),{1,2,3})),0)</f>
        <v/>
      </c>
      <c r="F192" s="33">
        <f>IFERROR(SUMPRODUCT(LARGE(IF(('YILDIZ ERKEKLER'!$D$6:$D$45=A192)*('YILDIZ ERKEKLER'!$E$6:$E$45="Takım"),'YILDIZ ERKEKLER'!$AC$6:$AC$45,0),{1,2,3})),0)</f>
        <v/>
      </c>
      <c r="G192" s="33">
        <f>IFERROR(SUMPRODUCT(LARGE(IF(('YILDIZ ERKEKLER'!$D$6:$D$45=A192)*('YILDIZ ERKEKLER'!$E$6:$E$45="Takım"),'YILDIZ ERKEKLER'!$AH$6:$AH$45,0),{1,2,3})),0)</f>
        <v/>
      </c>
      <c r="H192" s="36">
        <f>B192+C192+D192+E192+F192+G192</f>
        <v/>
      </c>
      <c r="I192" s="51" t="n">
        <v>0</v>
      </c>
      <c r="J192" s="36">
        <f>IF(A192="","",H192-IFERROR(I192+0,0))</f>
        <v/>
      </c>
      <c r="K192" s="37">
        <f>IF(A192="","-",RANK.EQ(J192,$J$174:$J$193,0))</f>
        <v/>
      </c>
    </row>
    <row r="193">
      <c r="A193" s="52" t="n"/>
      <c r="B193" s="53">
        <f>IFERROR(SUMPRODUCT(LARGE(IF(('YILDIZ ERKEKLER'!$D$6:$D$45=A193)*('YILDIZ ERKEKLER'!$E$6:$E$45="Takım"),'YILDIZ ERKEKLER'!$I$6:$I$45,0),{1,2,3})),0)</f>
        <v/>
      </c>
      <c r="C193" s="53">
        <f>IFERROR(SUMPRODUCT(LARGE(IF(('YILDIZ ERKEKLER'!$D$6:$D$45=A193)*('YILDIZ ERKEKLER'!$E$6:$E$45="Takım"),'YILDIZ ERKEKLER'!$N$6:$N$45,0),{1,2,3})),0)</f>
        <v/>
      </c>
      <c r="D193" s="53">
        <f>IFERROR(SUMPRODUCT(LARGE(IF(('YILDIZ ERKEKLER'!$D$6:$D$45=A193)*('YILDIZ ERKEKLER'!$E$6:$E$45="Takım"),'YILDIZ ERKEKLER'!$S$6:$S$45,0),{1,2,3})),0)</f>
        <v/>
      </c>
      <c r="E193" s="53">
        <f>IFERROR(SUMPRODUCT(LARGE(IF(('YILDIZ ERKEKLER'!$D$6:$D$45=A193)*('YILDIZ ERKEKLER'!$E$6:$E$45="Takım"),'YILDIZ ERKEKLER'!$X$6:$X$45,0),{1,2,3})),0)</f>
        <v/>
      </c>
      <c r="F193" s="53">
        <f>IFERROR(SUMPRODUCT(LARGE(IF(('YILDIZ ERKEKLER'!$D$6:$D$45=A193)*('YILDIZ ERKEKLER'!$E$6:$E$45="Takım"),'YILDIZ ERKEKLER'!$AC$6:$AC$45,0),{1,2,3})),0)</f>
        <v/>
      </c>
      <c r="G193" s="53">
        <f>IFERROR(SUMPRODUCT(LARGE(IF(('YILDIZ ERKEKLER'!$D$6:$D$45=A193)*('YILDIZ ERKEKLER'!$E$6:$E$45="Takım"),'YILDIZ ERKEKLER'!$AH$6:$AH$45,0),{1,2,3})),0)</f>
        <v/>
      </c>
      <c r="H193" s="36">
        <f>B193+C193+D193+E193+F193+G193</f>
        <v/>
      </c>
      <c r="I193" s="51" t="n">
        <v>0</v>
      </c>
      <c r="J193" s="36">
        <f>IF(A193="","",H193-IFERROR(I193+0,0))</f>
        <v/>
      </c>
      <c r="K193" s="37">
        <f>IF(A193="","-",RANK.EQ(J193,$J$174:$J$193,0))</f>
        <v/>
      </c>
    </row>
    <row r="196" ht="24" customHeight="1">
      <c r="A196" s="49" t="inlineStr">
        <is>
          <t>GENÇ KIZLAR  —  TAKIM SIRALAMASI</t>
        </is>
      </c>
    </row>
    <row r="197" ht="22" customHeight="1">
      <c r="A197" s="27" t="inlineStr">
        <is>
          <t>TAKIM ADI</t>
        </is>
      </c>
      <c r="B197" s="27" t="inlineStr">
        <is>
          <t>En İyi 3
VT</t>
        </is>
      </c>
      <c r="C197" s="27" t="inlineStr">
        <is>
          <t>En İyi 3
UB</t>
        </is>
      </c>
      <c r="D197" s="27" t="inlineStr">
        <is>
          <t>En İyi 3
BB</t>
        </is>
      </c>
      <c r="E197" s="27" t="inlineStr">
        <is>
          <t>En İyi 3
FX</t>
        </is>
      </c>
      <c r="F197" s="27" t="inlineStr">
        <is>
          <t>TOPLAM</t>
        </is>
      </c>
      <c r="G197" s="27" t="inlineStr">
        <is>
          <t>KESİNTİ</t>
        </is>
      </c>
      <c r="H197" s="27" t="inlineStr">
        <is>
          <t>FİNAL PUAN</t>
        </is>
      </c>
      <c r="I197" s="27" t="inlineStr">
        <is>
          <t>SIRALAMA</t>
        </is>
      </c>
    </row>
    <row r="198">
      <c r="A198" s="50" t="n"/>
      <c r="B198" s="33">
        <f>IFERROR(SUMPRODUCT(LARGE(IF(('GENÇ KIZLAR'!$D$6:$D$45=A198)*('GENÇ KIZLAR'!$E$6:$E$45="Takım"),'GENÇ KIZLAR'!$I$6:$I$45,0),{1,2,3})),0)</f>
        <v/>
      </c>
      <c r="C198" s="33">
        <f>IFERROR(SUMPRODUCT(LARGE(IF(('GENÇ KIZLAR'!$D$6:$D$45=A198)*('GENÇ KIZLAR'!$E$6:$E$45="Takım"),'GENÇ KIZLAR'!$N$6:$N$45,0),{1,2,3})),0)</f>
        <v/>
      </c>
      <c r="D198" s="33">
        <f>IFERROR(SUMPRODUCT(LARGE(IF(('GENÇ KIZLAR'!$D$6:$D$45=A198)*('GENÇ KIZLAR'!$E$6:$E$45="Takım"),'GENÇ KIZLAR'!$S$6:$S$45,0),{1,2,3})),0)</f>
        <v/>
      </c>
      <c r="E198" s="33">
        <f>IFERROR(SUMPRODUCT(LARGE(IF(('GENÇ KIZLAR'!$D$6:$D$45=A198)*('GENÇ KIZLAR'!$E$6:$E$45="Takım"),'GENÇ KIZLAR'!$X$6:$X$45,0),{1,2,3})),0)</f>
        <v/>
      </c>
      <c r="F198" s="36">
        <f>B198+C198+D198+E198</f>
        <v/>
      </c>
      <c r="G198" s="51" t="n">
        <v>0</v>
      </c>
      <c r="H198" s="36">
        <f>IF(A198="","",F198-IFERROR(G198+0,0))</f>
        <v/>
      </c>
      <c r="I198" s="37">
        <f>IF(A198="","-",RANK.EQ(H198,$H$198:$H$217,0))</f>
        <v/>
      </c>
    </row>
    <row r="199">
      <c r="A199" s="52" t="n"/>
      <c r="B199" s="53">
        <f>IFERROR(SUMPRODUCT(LARGE(IF(('GENÇ KIZLAR'!$D$6:$D$45=A199)*('GENÇ KIZLAR'!$E$6:$E$45="Takım"),'GENÇ KIZLAR'!$I$6:$I$45,0),{1,2,3})),0)</f>
        <v/>
      </c>
      <c r="C199" s="53">
        <f>IFERROR(SUMPRODUCT(LARGE(IF(('GENÇ KIZLAR'!$D$6:$D$45=A199)*('GENÇ KIZLAR'!$E$6:$E$45="Takım"),'GENÇ KIZLAR'!$N$6:$N$45,0),{1,2,3})),0)</f>
        <v/>
      </c>
      <c r="D199" s="53">
        <f>IFERROR(SUMPRODUCT(LARGE(IF(('GENÇ KIZLAR'!$D$6:$D$45=A199)*('GENÇ KIZLAR'!$E$6:$E$45="Takım"),'GENÇ KIZLAR'!$S$6:$S$45,0),{1,2,3})),0)</f>
        <v/>
      </c>
      <c r="E199" s="53">
        <f>IFERROR(SUMPRODUCT(LARGE(IF(('GENÇ KIZLAR'!$D$6:$D$45=A199)*('GENÇ KIZLAR'!$E$6:$E$45="Takım"),'GENÇ KIZLAR'!$X$6:$X$45,0),{1,2,3})),0)</f>
        <v/>
      </c>
      <c r="F199" s="36">
        <f>B199+C199+D199+E199</f>
        <v/>
      </c>
      <c r="G199" s="51" t="n">
        <v>0</v>
      </c>
      <c r="H199" s="36">
        <f>IF(A199="","",F199-IFERROR(G199+0,0))</f>
        <v/>
      </c>
      <c r="I199" s="37">
        <f>IF(A199="","-",RANK.EQ(H199,$H$198:$H$217,0))</f>
        <v/>
      </c>
    </row>
    <row r="200">
      <c r="A200" s="50" t="n"/>
      <c r="B200" s="33">
        <f>IFERROR(SUMPRODUCT(LARGE(IF(('GENÇ KIZLAR'!$D$6:$D$45=A200)*('GENÇ KIZLAR'!$E$6:$E$45="Takım"),'GENÇ KIZLAR'!$I$6:$I$45,0),{1,2,3})),0)</f>
        <v/>
      </c>
      <c r="C200" s="33">
        <f>IFERROR(SUMPRODUCT(LARGE(IF(('GENÇ KIZLAR'!$D$6:$D$45=A200)*('GENÇ KIZLAR'!$E$6:$E$45="Takım"),'GENÇ KIZLAR'!$N$6:$N$45,0),{1,2,3})),0)</f>
        <v/>
      </c>
      <c r="D200" s="33">
        <f>IFERROR(SUMPRODUCT(LARGE(IF(('GENÇ KIZLAR'!$D$6:$D$45=A200)*('GENÇ KIZLAR'!$E$6:$E$45="Takım"),'GENÇ KIZLAR'!$S$6:$S$45,0),{1,2,3})),0)</f>
        <v/>
      </c>
      <c r="E200" s="33">
        <f>IFERROR(SUMPRODUCT(LARGE(IF(('GENÇ KIZLAR'!$D$6:$D$45=A200)*('GENÇ KIZLAR'!$E$6:$E$45="Takım"),'GENÇ KIZLAR'!$X$6:$X$45,0),{1,2,3})),0)</f>
        <v/>
      </c>
      <c r="F200" s="36">
        <f>B200+C200+D200+E200</f>
        <v/>
      </c>
      <c r="G200" s="51" t="n">
        <v>0</v>
      </c>
      <c r="H200" s="36">
        <f>IF(A200="","",F200-IFERROR(G200+0,0))</f>
        <v/>
      </c>
      <c r="I200" s="37">
        <f>IF(A200="","-",RANK.EQ(H200,$H$198:$H$217,0))</f>
        <v/>
      </c>
    </row>
    <row r="201">
      <c r="A201" s="52" t="n"/>
      <c r="B201" s="53">
        <f>IFERROR(SUMPRODUCT(LARGE(IF(('GENÇ KIZLAR'!$D$6:$D$45=A201)*('GENÇ KIZLAR'!$E$6:$E$45="Takım"),'GENÇ KIZLAR'!$I$6:$I$45,0),{1,2,3})),0)</f>
        <v/>
      </c>
      <c r="C201" s="53">
        <f>IFERROR(SUMPRODUCT(LARGE(IF(('GENÇ KIZLAR'!$D$6:$D$45=A201)*('GENÇ KIZLAR'!$E$6:$E$45="Takım"),'GENÇ KIZLAR'!$N$6:$N$45,0),{1,2,3})),0)</f>
        <v/>
      </c>
      <c r="D201" s="53">
        <f>IFERROR(SUMPRODUCT(LARGE(IF(('GENÇ KIZLAR'!$D$6:$D$45=A201)*('GENÇ KIZLAR'!$E$6:$E$45="Takım"),'GENÇ KIZLAR'!$S$6:$S$45,0),{1,2,3})),0)</f>
        <v/>
      </c>
      <c r="E201" s="53">
        <f>IFERROR(SUMPRODUCT(LARGE(IF(('GENÇ KIZLAR'!$D$6:$D$45=A201)*('GENÇ KIZLAR'!$E$6:$E$45="Takım"),'GENÇ KIZLAR'!$X$6:$X$45,0),{1,2,3})),0)</f>
        <v/>
      </c>
      <c r="F201" s="36">
        <f>B201+C201+D201+E201</f>
        <v/>
      </c>
      <c r="G201" s="51" t="n">
        <v>0</v>
      </c>
      <c r="H201" s="36">
        <f>IF(A201="","",F201-IFERROR(G201+0,0))</f>
        <v/>
      </c>
      <c r="I201" s="37">
        <f>IF(A201="","-",RANK.EQ(H201,$H$198:$H$217,0))</f>
        <v/>
      </c>
    </row>
    <row r="202">
      <c r="A202" s="50" t="n"/>
      <c r="B202" s="33">
        <f>IFERROR(SUMPRODUCT(LARGE(IF(('GENÇ KIZLAR'!$D$6:$D$45=A202)*('GENÇ KIZLAR'!$E$6:$E$45="Takım"),'GENÇ KIZLAR'!$I$6:$I$45,0),{1,2,3})),0)</f>
        <v/>
      </c>
      <c r="C202" s="33">
        <f>IFERROR(SUMPRODUCT(LARGE(IF(('GENÇ KIZLAR'!$D$6:$D$45=A202)*('GENÇ KIZLAR'!$E$6:$E$45="Takım"),'GENÇ KIZLAR'!$N$6:$N$45,0),{1,2,3})),0)</f>
        <v/>
      </c>
      <c r="D202" s="33">
        <f>IFERROR(SUMPRODUCT(LARGE(IF(('GENÇ KIZLAR'!$D$6:$D$45=A202)*('GENÇ KIZLAR'!$E$6:$E$45="Takım"),'GENÇ KIZLAR'!$S$6:$S$45,0),{1,2,3})),0)</f>
        <v/>
      </c>
      <c r="E202" s="33">
        <f>IFERROR(SUMPRODUCT(LARGE(IF(('GENÇ KIZLAR'!$D$6:$D$45=A202)*('GENÇ KIZLAR'!$E$6:$E$45="Takım"),'GENÇ KIZLAR'!$X$6:$X$45,0),{1,2,3})),0)</f>
        <v/>
      </c>
      <c r="F202" s="36">
        <f>B202+C202+D202+E202</f>
        <v/>
      </c>
      <c r="G202" s="51" t="n">
        <v>0</v>
      </c>
      <c r="H202" s="36">
        <f>IF(A202="","",F202-IFERROR(G202+0,0))</f>
        <v/>
      </c>
      <c r="I202" s="37">
        <f>IF(A202="","-",RANK.EQ(H202,$H$198:$H$217,0))</f>
        <v/>
      </c>
    </row>
    <row r="203">
      <c r="A203" s="52" t="n"/>
      <c r="B203" s="53">
        <f>IFERROR(SUMPRODUCT(LARGE(IF(('GENÇ KIZLAR'!$D$6:$D$45=A203)*('GENÇ KIZLAR'!$E$6:$E$45="Takım"),'GENÇ KIZLAR'!$I$6:$I$45,0),{1,2,3})),0)</f>
        <v/>
      </c>
      <c r="C203" s="53">
        <f>IFERROR(SUMPRODUCT(LARGE(IF(('GENÇ KIZLAR'!$D$6:$D$45=A203)*('GENÇ KIZLAR'!$E$6:$E$45="Takım"),'GENÇ KIZLAR'!$N$6:$N$45,0),{1,2,3})),0)</f>
        <v/>
      </c>
      <c r="D203" s="53">
        <f>IFERROR(SUMPRODUCT(LARGE(IF(('GENÇ KIZLAR'!$D$6:$D$45=A203)*('GENÇ KIZLAR'!$E$6:$E$45="Takım"),'GENÇ KIZLAR'!$S$6:$S$45,0),{1,2,3})),0)</f>
        <v/>
      </c>
      <c r="E203" s="53">
        <f>IFERROR(SUMPRODUCT(LARGE(IF(('GENÇ KIZLAR'!$D$6:$D$45=A203)*('GENÇ KIZLAR'!$E$6:$E$45="Takım"),'GENÇ KIZLAR'!$X$6:$X$45,0),{1,2,3})),0)</f>
        <v/>
      </c>
      <c r="F203" s="36">
        <f>B203+C203+D203+E203</f>
        <v/>
      </c>
      <c r="G203" s="51" t="n">
        <v>0</v>
      </c>
      <c r="H203" s="36">
        <f>IF(A203="","",F203-IFERROR(G203+0,0))</f>
        <v/>
      </c>
      <c r="I203" s="37">
        <f>IF(A203="","-",RANK.EQ(H203,$H$198:$H$217,0))</f>
        <v/>
      </c>
    </row>
    <row r="204">
      <c r="A204" s="50" t="n"/>
      <c r="B204" s="33">
        <f>IFERROR(SUMPRODUCT(LARGE(IF(('GENÇ KIZLAR'!$D$6:$D$45=A204)*('GENÇ KIZLAR'!$E$6:$E$45="Takım"),'GENÇ KIZLAR'!$I$6:$I$45,0),{1,2,3})),0)</f>
        <v/>
      </c>
      <c r="C204" s="33">
        <f>IFERROR(SUMPRODUCT(LARGE(IF(('GENÇ KIZLAR'!$D$6:$D$45=A204)*('GENÇ KIZLAR'!$E$6:$E$45="Takım"),'GENÇ KIZLAR'!$N$6:$N$45,0),{1,2,3})),0)</f>
        <v/>
      </c>
      <c r="D204" s="33">
        <f>IFERROR(SUMPRODUCT(LARGE(IF(('GENÇ KIZLAR'!$D$6:$D$45=A204)*('GENÇ KIZLAR'!$E$6:$E$45="Takım"),'GENÇ KIZLAR'!$S$6:$S$45,0),{1,2,3})),0)</f>
        <v/>
      </c>
      <c r="E204" s="33">
        <f>IFERROR(SUMPRODUCT(LARGE(IF(('GENÇ KIZLAR'!$D$6:$D$45=A204)*('GENÇ KIZLAR'!$E$6:$E$45="Takım"),'GENÇ KIZLAR'!$X$6:$X$45,0),{1,2,3})),0)</f>
        <v/>
      </c>
      <c r="F204" s="36">
        <f>B204+C204+D204+E204</f>
        <v/>
      </c>
      <c r="G204" s="51" t="n">
        <v>0</v>
      </c>
      <c r="H204" s="36">
        <f>IF(A204="","",F204-IFERROR(G204+0,0))</f>
        <v/>
      </c>
      <c r="I204" s="37">
        <f>IF(A204="","-",RANK.EQ(H204,$H$198:$H$217,0))</f>
        <v/>
      </c>
    </row>
    <row r="205">
      <c r="A205" s="52" t="n"/>
      <c r="B205" s="53">
        <f>IFERROR(SUMPRODUCT(LARGE(IF(('GENÇ KIZLAR'!$D$6:$D$45=A205)*('GENÇ KIZLAR'!$E$6:$E$45="Takım"),'GENÇ KIZLAR'!$I$6:$I$45,0),{1,2,3})),0)</f>
        <v/>
      </c>
      <c r="C205" s="53">
        <f>IFERROR(SUMPRODUCT(LARGE(IF(('GENÇ KIZLAR'!$D$6:$D$45=A205)*('GENÇ KIZLAR'!$E$6:$E$45="Takım"),'GENÇ KIZLAR'!$N$6:$N$45,0),{1,2,3})),0)</f>
        <v/>
      </c>
      <c r="D205" s="53">
        <f>IFERROR(SUMPRODUCT(LARGE(IF(('GENÇ KIZLAR'!$D$6:$D$45=A205)*('GENÇ KIZLAR'!$E$6:$E$45="Takım"),'GENÇ KIZLAR'!$S$6:$S$45,0),{1,2,3})),0)</f>
        <v/>
      </c>
      <c r="E205" s="53">
        <f>IFERROR(SUMPRODUCT(LARGE(IF(('GENÇ KIZLAR'!$D$6:$D$45=A205)*('GENÇ KIZLAR'!$E$6:$E$45="Takım"),'GENÇ KIZLAR'!$X$6:$X$45,0),{1,2,3})),0)</f>
        <v/>
      </c>
      <c r="F205" s="36">
        <f>B205+C205+D205+E205</f>
        <v/>
      </c>
      <c r="G205" s="51" t="n">
        <v>0</v>
      </c>
      <c r="H205" s="36">
        <f>IF(A205="","",F205-IFERROR(G205+0,0))</f>
        <v/>
      </c>
      <c r="I205" s="37">
        <f>IF(A205="","-",RANK.EQ(H205,$H$198:$H$217,0))</f>
        <v/>
      </c>
    </row>
    <row r="206">
      <c r="A206" s="50" t="n"/>
      <c r="B206" s="33">
        <f>IFERROR(SUMPRODUCT(LARGE(IF(('GENÇ KIZLAR'!$D$6:$D$45=A206)*('GENÇ KIZLAR'!$E$6:$E$45="Takım"),'GENÇ KIZLAR'!$I$6:$I$45,0),{1,2,3})),0)</f>
        <v/>
      </c>
      <c r="C206" s="33">
        <f>IFERROR(SUMPRODUCT(LARGE(IF(('GENÇ KIZLAR'!$D$6:$D$45=A206)*('GENÇ KIZLAR'!$E$6:$E$45="Takım"),'GENÇ KIZLAR'!$N$6:$N$45,0),{1,2,3})),0)</f>
        <v/>
      </c>
      <c r="D206" s="33">
        <f>IFERROR(SUMPRODUCT(LARGE(IF(('GENÇ KIZLAR'!$D$6:$D$45=A206)*('GENÇ KIZLAR'!$E$6:$E$45="Takım"),'GENÇ KIZLAR'!$S$6:$S$45,0),{1,2,3})),0)</f>
        <v/>
      </c>
      <c r="E206" s="33">
        <f>IFERROR(SUMPRODUCT(LARGE(IF(('GENÇ KIZLAR'!$D$6:$D$45=A206)*('GENÇ KIZLAR'!$E$6:$E$45="Takım"),'GENÇ KIZLAR'!$X$6:$X$45,0),{1,2,3})),0)</f>
        <v/>
      </c>
      <c r="F206" s="36">
        <f>B206+C206+D206+E206</f>
        <v/>
      </c>
      <c r="G206" s="51" t="n">
        <v>0</v>
      </c>
      <c r="H206" s="36">
        <f>IF(A206="","",F206-IFERROR(G206+0,0))</f>
        <v/>
      </c>
      <c r="I206" s="37">
        <f>IF(A206="","-",RANK.EQ(H206,$H$198:$H$217,0))</f>
        <v/>
      </c>
    </row>
    <row r="207">
      <c r="A207" s="52" t="n"/>
      <c r="B207" s="53">
        <f>IFERROR(SUMPRODUCT(LARGE(IF(('GENÇ KIZLAR'!$D$6:$D$45=A207)*('GENÇ KIZLAR'!$E$6:$E$45="Takım"),'GENÇ KIZLAR'!$I$6:$I$45,0),{1,2,3})),0)</f>
        <v/>
      </c>
      <c r="C207" s="53">
        <f>IFERROR(SUMPRODUCT(LARGE(IF(('GENÇ KIZLAR'!$D$6:$D$45=A207)*('GENÇ KIZLAR'!$E$6:$E$45="Takım"),'GENÇ KIZLAR'!$N$6:$N$45,0),{1,2,3})),0)</f>
        <v/>
      </c>
      <c r="D207" s="53">
        <f>IFERROR(SUMPRODUCT(LARGE(IF(('GENÇ KIZLAR'!$D$6:$D$45=A207)*('GENÇ KIZLAR'!$E$6:$E$45="Takım"),'GENÇ KIZLAR'!$S$6:$S$45,0),{1,2,3})),0)</f>
        <v/>
      </c>
      <c r="E207" s="53">
        <f>IFERROR(SUMPRODUCT(LARGE(IF(('GENÇ KIZLAR'!$D$6:$D$45=A207)*('GENÇ KIZLAR'!$E$6:$E$45="Takım"),'GENÇ KIZLAR'!$X$6:$X$45,0),{1,2,3})),0)</f>
        <v/>
      </c>
      <c r="F207" s="36">
        <f>B207+C207+D207+E207</f>
        <v/>
      </c>
      <c r="G207" s="51" t="n">
        <v>0</v>
      </c>
      <c r="H207" s="36">
        <f>IF(A207="","",F207-IFERROR(G207+0,0))</f>
        <v/>
      </c>
      <c r="I207" s="37">
        <f>IF(A207="","-",RANK.EQ(H207,$H$198:$H$217,0))</f>
        <v/>
      </c>
    </row>
    <row r="208">
      <c r="A208" s="50" t="n"/>
      <c r="B208" s="33">
        <f>IFERROR(SUMPRODUCT(LARGE(IF(('GENÇ KIZLAR'!$D$6:$D$45=A208)*('GENÇ KIZLAR'!$E$6:$E$45="Takım"),'GENÇ KIZLAR'!$I$6:$I$45,0),{1,2,3})),0)</f>
        <v/>
      </c>
      <c r="C208" s="33">
        <f>IFERROR(SUMPRODUCT(LARGE(IF(('GENÇ KIZLAR'!$D$6:$D$45=A208)*('GENÇ KIZLAR'!$E$6:$E$45="Takım"),'GENÇ KIZLAR'!$N$6:$N$45,0),{1,2,3})),0)</f>
        <v/>
      </c>
      <c r="D208" s="33">
        <f>IFERROR(SUMPRODUCT(LARGE(IF(('GENÇ KIZLAR'!$D$6:$D$45=A208)*('GENÇ KIZLAR'!$E$6:$E$45="Takım"),'GENÇ KIZLAR'!$S$6:$S$45,0),{1,2,3})),0)</f>
        <v/>
      </c>
      <c r="E208" s="33">
        <f>IFERROR(SUMPRODUCT(LARGE(IF(('GENÇ KIZLAR'!$D$6:$D$45=A208)*('GENÇ KIZLAR'!$E$6:$E$45="Takım"),'GENÇ KIZLAR'!$X$6:$X$45,0),{1,2,3})),0)</f>
        <v/>
      </c>
      <c r="F208" s="36">
        <f>B208+C208+D208+E208</f>
        <v/>
      </c>
      <c r="G208" s="51" t="n">
        <v>0</v>
      </c>
      <c r="H208" s="36">
        <f>IF(A208="","",F208-IFERROR(G208+0,0))</f>
        <v/>
      </c>
      <c r="I208" s="37">
        <f>IF(A208="","-",RANK.EQ(H208,$H$198:$H$217,0))</f>
        <v/>
      </c>
    </row>
    <row r="209">
      <c r="A209" s="52" t="n"/>
      <c r="B209" s="53">
        <f>IFERROR(SUMPRODUCT(LARGE(IF(('GENÇ KIZLAR'!$D$6:$D$45=A209)*('GENÇ KIZLAR'!$E$6:$E$45="Takım"),'GENÇ KIZLAR'!$I$6:$I$45,0),{1,2,3})),0)</f>
        <v/>
      </c>
      <c r="C209" s="53">
        <f>IFERROR(SUMPRODUCT(LARGE(IF(('GENÇ KIZLAR'!$D$6:$D$45=A209)*('GENÇ KIZLAR'!$E$6:$E$45="Takım"),'GENÇ KIZLAR'!$N$6:$N$45,0),{1,2,3})),0)</f>
        <v/>
      </c>
      <c r="D209" s="53">
        <f>IFERROR(SUMPRODUCT(LARGE(IF(('GENÇ KIZLAR'!$D$6:$D$45=A209)*('GENÇ KIZLAR'!$E$6:$E$45="Takım"),'GENÇ KIZLAR'!$S$6:$S$45,0),{1,2,3})),0)</f>
        <v/>
      </c>
      <c r="E209" s="53">
        <f>IFERROR(SUMPRODUCT(LARGE(IF(('GENÇ KIZLAR'!$D$6:$D$45=A209)*('GENÇ KIZLAR'!$E$6:$E$45="Takım"),'GENÇ KIZLAR'!$X$6:$X$45,0),{1,2,3})),0)</f>
        <v/>
      </c>
      <c r="F209" s="36">
        <f>B209+C209+D209+E209</f>
        <v/>
      </c>
      <c r="G209" s="51" t="n">
        <v>0</v>
      </c>
      <c r="H209" s="36">
        <f>IF(A209="","",F209-IFERROR(G209+0,0))</f>
        <v/>
      </c>
      <c r="I209" s="37">
        <f>IF(A209="","-",RANK.EQ(H209,$H$198:$H$217,0))</f>
        <v/>
      </c>
    </row>
    <row r="210">
      <c r="A210" s="50" t="n"/>
      <c r="B210" s="33">
        <f>IFERROR(SUMPRODUCT(LARGE(IF(('GENÇ KIZLAR'!$D$6:$D$45=A210)*('GENÇ KIZLAR'!$E$6:$E$45="Takım"),'GENÇ KIZLAR'!$I$6:$I$45,0),{1,2,3})),0)</f>
        <v/>
      </c>
      <c r="C210" s="33">
        <f>IFERROR(SUMPRODUCT(LARGE(IF(('GENÇ KIZLAR'!$D$6:$D$45=A210)*('GENÇ KIZLAR'!$E$6:$E$45="Takım"),'GENÇ KIZLAR'!$N$6:$N$45,0),{1,2,3})),0)</f>
        <v/>
      </c>
      <c r="D210" s="33">
        <f>IFERROR(SUMPRODUCT(LARGE(IF(('GENÇ KIZLAR'!$D$6:$D$45=A210)*('GENÇ KIZLAR'!$E$6:$E$45="Takım"),'GENÇ KIZLAR'!$S$6:$S$45,0),{1,2,3})),0)</f>
        <v/>
      </c>
      <c r="E210" s="33">
        <f>IFERROR(SUMPRODUCT(LARGE(IF(('GENÇ KIZLAR'!$D$6:$D$45=A210)*('GENÇ KIZLAR'!$E$6:$E$45="Takım"),'GENÇ KIZLAR'!$X$6:$X$45,0),{1,2,3})),0)</f>
        <v/>
      </c>
      <c r="F210" s="36">
        <f>B210+C210+D210+E210</f>
        <v/>
      </c>
      <c r="G210" s="51" t="n">
        <v>0</v>
      </c>
      <c r="H210" s="36">
        <f>IF(A210="","",F210-IFERROR(G210+0,0))</f>
        <v/>
      </c>
      <c r="I210" s="37">
        <f>IF(A210="","-",RANK.EQ(H210,$H$198:$H$217,0))</f>
        <v/>
      </c>
    </row>
    <row r="211">
      <c r="A211" s="52" t="n"/>
      <c r="B211" s="53">
        <f>IFERROR(SUMPRODUCT(LARGE(IF(('GENÇ KIZLAR'!$D$6:$D$45=A211)*('GENÇ KIZLAR'!$E$6:$E$45="Takım"),'GENÇ KIZLAR'!$I$6:$I$45,0),{1,2,3})),0)</f>
        <v/>
      </c>
      <c r="C211" s="53">
        <f>IFERROR(SUMPRODUCT(LARGE(IF(('GENÇ KIZLAR'!$D$6:$D$45=A211)*('GENÇ KIZLAR'!$E$6:$E$45="Takım"),'GENÇ KIZLAR'!$N$6:$N$45,0),{1,2,3})),0)</f>
        <v/>
      </c>
      <c r="D211" s="53">
        <f>IFERROR(SUMPRODUCT(LARGE(IF(('GENÇ KIZLAR'!$D$6:$D$45=A211)*('GENÇ KIZLAR'!$E$6:$E$45="Takım"),'GENÇ KIZLAR'!$S$6:$S$45,0),{1,2,3})),0)</f>
        <v/>
      </c>
      <c r="E211" s="53">
        <f>IFERROR(SUMPRODUCT(LARGE(IF(('GENÇ KIZLAR'!$D$6:$D$45=A211)*('GENÇ KIZLAR'!$E$6:$E$45="Takım"),'GENÇ KIZLAR'!$X$6:$X$45,0),{1,2,3})),0)</f>
        <v/>
      </c>
      <c r="F211" s="36">
        <f>B211+C211+D211+E211</f>
        <v/>
      </c>
      <c r="G211" s="51" t="n">
        <v>0</v>
      </c>
      <c r="H211" s="36">
        <f>IF(A211="","",F211-IFERROR(G211+0,0))</f>
        <v/>
      </c>
      <c r="I211" s="37">
        <f>IF(A211="","-",RANK.EQ(H211,$H$198:$H$217,0))</f>
        <v/>
      </c>
    </row>
    <row r="212">
      <c r="A212" s="50" t="n"/>
      <c r="B212" s="33">
        <f>IFERROR(SUMPRODUCT(LARGE(IF(('GENÇ KIZLAR'!$D$6:$D$45=A212)*('GENÇ KIZLAR'!$E$6:$E$45="Takım"),'GENÇ KIZLAR'!$I$6:$I$45,0),{1,2,3})),0)</f>
        <v/>
      </c>
      <c r="C212" s="33">
        <f>IFERROR(SUMPRODUCT(LARGE(IF(('GENÇ KIZLAR'!$D$6:$D$45=A212)*('GENÇ KIZLAR'!$E$6:$E$45="Takım"),'GENÇ KIZLAR'!$N$6:$N$45,0),{1,2,3})),0)</f>
        <v/>
      </c>
      <c r="D212" s="33">
        <f>IFERROR(SUMPRODUCT(LARGE(IF(('GENÇ KIZLAR'!$D$6:$D$45=A212)*('GENÇ KIZLAR'!$E$6:$E$45="Takım"),'GENÇ KIZLAR'!$S$6:$S$45,0),{1,2,3})),0)</f>
        <v/>
      </c>
      <c r="E212" s="33">
        <f>IFERROR(SUMPRODUCT(LARGE(IF(('GENÇ KIZLAR'!$D$6:$D$45=A212)*('GENÇ KIZLAR'!$E$6:$E$45="Takım"),'GENÇ KIZLAR'!$X$6:$X$45,0),{1,2,3})),0)</f>
        <v/>
      </c>
      <c r="F212" s="36">
        <f>B212+C212+D212+E212</f>
        <v/>
      </c>
      <c r="G212" s="51" t="n">
        <v>0</v>
      </c>
      <c r="H212" s="36">
        <f>IF(A212="","",F212-IFERROR(G212+0,0))</f>
        <v/>
      </c>
      <c r="I212" s="37">
        <f>IF(A212="","-",RANK.EQ(H212,$H$198:$H$217,0))</f>
        <v/>
      </c>
    </row>
    <row r="213">
      <c r="A213" s="52" t="n"/>
      <c r="B213" s="53">
        <f>IFERROR(SUMPRODUCT(LARGE(IF(('GENÇ KIZLAR'!$D$6:$D$45=A213)*('GENÇ KIZLAR'!$E$6:$E$45="Takım"),'GENÇ KIZLAR'!$I$6:$I$45,0),{1,2,3})),0)</f>
        <v/>
      </c>
      <c r="C213" s="53">
        <f>IFERROR(SUMPRODUCT(LARGE(IF(('GENÇ KIZLAR'!$D$6:$D$45=A213)*('GENÇ KIZLAR'!$E$6:$E$45="Takım"),'GENÇ KIZLAR'!$N$6:$N$45,0),{1,2,3})),0)</f>
        <v/>
      </c>
      <c r="D213" s="53">
        <f>IFERROR(SUMPRODUCT(LARGE(IF(('GENÇ KIZLAR'!$D$6:$D$45=A213)*('GENÇ KIZLAR'!$E$6:$E$45="Takım"),'GENÇ KIZLAR'!$S$6:$S$45,0),{1,2,3})),0)</f>
        <v/>
      </c>
      <c r="E213" s="53">
        <f>IFERROR(SUMPRODUCT(LARGE(IF(('GENÇ KIZLAR'!$D$6:$D$45=A213)*('GENÇ KIZLAR'!$E$6:$E$45="Takım"),'GENÇ KIZLAR'!$X$6:$X$45,0),{1,2,3})),0)</f>
        <v/>
      </c>
      <c r="F213" s="36">
        <f>B213+C213+D213+E213</f>
        <v/>
      </c>
      <c r="G213" s="51" t="n">
        <v>0</v>
      </c>
      <c r="H213" s="36">
        <f>IF(A213="","",F213-IFERROR(G213+0,0))</f>
        <v/>
      </c>
      <c r="I213" s="37">
        <f>IF(A213="","-",RANK.EQ(H213,$H$198:$H$217,0))</f>
        <v/>
      </c>
    </row>
    <row r="214">
      <c r="A214" s="50" t="n"/>
      <c r="B214" s="33">
        <f>IFERROR(SUMPRODUCT(LARGE(IF(('GENÇ KIZLAR'!$D$6:$D$45=A214)*('GENÇ KIZLAR'!$E$6:$E$45="Takım"),'GENÇ KIZLAR'!$I$6:$I$45,0),{1,2,3})),0)</f>
        <v/>
      </c>
      <c r="C214" s="33">
        <f>IFERROR(SUMPRODUCT(LARGE(IF(('GENÇ KIZLAR'!$D$6:$D$45=A214)*('GENÇ KIZLAR'!$E$6:$E$45="Takım"),'GENÇ KIZLAR'!$N$6:$N$45,0),{1,2,3})),0)</f>
        <v/>
      </c>
      <c r="D214" s="33">
        <f>IFERROR(SUMPRODUCT(LARGE(IF(('GENÇ KIZLAR'!$D$6:$D$45=A214)*('GENÇ KIZLAR'!$E$6:$E$45="Takım"),'GENÇ KIZLAR'!$S$6:$S$45,0),{1,2,3})),0)</f>
        <v/>
      </c>
      <c r="E214" s="33">
        <f>IFERROR(SUMPRODUCT(LARGE(IF(('GENÇ KIZLAR'!$D$6:$D$45=A214)*('GENÇ KIZLAR'!$E$6:$E$45="Takım"),'GENÇ KIZLAR'!$X$6:$X$45,0),{1,2,3})),0)</f>
        <v/>
      </c>
      <c r="F214" s="36">
        <f>B214+C214+D214+E214</f>
        <v/>
      </c>
      <c r="G214" s="51" t="n">
        <v>0</v>
      </c>
      <c r="H214" s="36">
        <f>IF(A214="","",F214-IFERROR(G214+0,0))</f>
        <v/>
      </c>
      <c r="I214" s="37">
        <f>IF(A214="","-",RANK.EQ(H214,$H$198:$H$217,0))</f>
        <v/>
      </c>
    </row>
    <row r="215">
      <c r="A215" s="52" t="n"/>
      <c r="B215" s="53">
        <f>IFERROR(SUMPRODUCT(LARGE(IF(('GENÇ KIZLAR'!$D$6:$D$45=A215)*('GENÇ KIZLAR'!$E$6:$E$45="Takım"),'GENÇ KIZLAR'!$I$6:$I$45,0),{1,2,3})),0)</f>
        <v/>
      </c>
      <c r="C215" s="53">
        <f>IFERROR(SUMPRODUCT(LARGE(IF(('GENÇ KIZLAR'!$D$6:$D$45=A215)*('GENÇ KIZLAR'!$E$6:$E$45="Takım"),'GENÇ KIZLAR'!$N$6:$N$45,0),{1,2,3})),0)</f>
        <v/>
      </c>
      <c r="D215" s="53">
        <f>IFERROR(SUMPRODUCT(LARGE(IF(('GENÇ KIZLAR'!$D$6:$D$45=A215)*('GENÇ KIZLAR'!$E$6:$E$45="Takım"),'GENÇ KIZLAR'!$S$6:$S$45,0),{1,2,3})),0)</f>
        <v/>
      </c>
      <c r="E215" s="53">
        <f>IFERROR(SUMPRODUCT(LARGE(IF(('GENÇ KIZLAR'!$D$6:$D$45=A215)*('GENÇ KIZLAR'!$E$6:$E$45="Takım"),'GENÇ KIZLAR'!$X$6:$X$45,0),{1,2,3})),0)</f>
        <v/>
      </c>
      <c r="F215" s="36">
        <f>B215+C215+D215+E215</f>
        <v/>
      </c>
      <c r="G215" s="51" t="n">
        <v>0</v>
      </c>
      <c r="H215" s="36">
        <f>IF(A215="","",F215-IFERROR(G215+0,0))</f>
        <v/>
      </c>
      <c r="I215" s="37">
        <f>IF(A215="","-",RANK.EQ(H215,$H$198:$H$217,0))</f>
        <v/>
      </c>
    </row>
    <row r="216">
      <c r="A216" s="50" t="n"/>
      <c r="B216" s="33">
        <f>IFERROR(SUMPRODUCT(LARGE(IF(('GENÇ KIZLAR'!$D$6:$D$45=A216)*('GENÇ KIZLAR'!$E$6:$E$45="Takım"),'GENÇ KIZLAR'!$I$6:$I$45,0),{1,2,3})),0)</f>
        <v/>
      </c>
      <c r="C216" s="33">
        <f>IFERROR(SUMPRODUCT(LARGE(IF(('GENÇ KIZLAR'!$D$6:$D$45=A216)*('GENÇ KIZLAR'!$E$6:$E$45="Takım"),'GENÇ KIZLAR'!$N$6:$N$45,0),{1,2,3})),0)</f>
        <v/>
      </c>
      <c r="D216" s="33">
        <f>IFERROR(SUMPRODUCT(LARGE(IF(('GENÇ KIZLAR'!$D$6:$D$45=A216)*('GENÇ KIZLAR'!$E$6:$E$45="Takım"),'GENÇ KIZLAR'!$S$6:$S$45,0),{1,2,3})),0)</f>
        <v/>
      </c>
      <c r="E216" s="33">
        <f>IFERROR(SUMPRODUCT(LARGE(IF(('GENÇ KIZLAR'!$D$6:$D$45=A216)*('GENÇ KIZLAR'!$E$6:$E$45="Takım"),'GENÇ KIZLAR'!$X$6:$X$45,0),{1,2,3})),0)</f>
        <v/>
      </c>
      <c r="F216" s="36">
        <f>B216+C216+D216+E216</f>
        <v/>
      </c>
      <c r="G216" s="51" t="n">
        <v>0</v>
      </c>
      <c r="H216" s="36">
        <f>IF(A216="","",F216-IFERROR(G216+0,0))</f>
        <v/>
      </c>
      <c r="I216" s="37">
        <f>IF(A216="","-",RANK.EQ(H216,$H$198:$H$217,0))</f>
        <v/>
      </c>
    </row>
    <row r="217">
      <c r="A217" s="52" t="n"/>
      <c r="B217" s="53">
        <f>IFERROR(SUMPRODUCT(LARGE(IF(('GENÇ KIZLAR'!$D$6:$D$45=A217)*('GENÇ KIZLAR'!$E$6:$E$45="Takım"),'GENÇ KIZLAR'!$I$6:$I$45,0),{1,2,3})),0)</f>
        <v/>
      </c>
      <c r="C217" s="53">
        <f>IFERROR(SUMPRODUCT(LARGE(IF(('GENÇ KIZLAR'!$D$6:$D$45=A217)*('GENÇ KIZLAR'!$E$6:$E$45="Takım"),'GENÇ KIZLAR'!$N$6:$N$45,0),{1,2,3})),0)</f>
        <v/>
      </c>
      <c r="D217" s="53">
        <f>IFERROR(SUMPRODUCT(LARGE(IF(('GENÇ KIZLAR'!$D$6:$D$45=A217)*('GENÇ KIZLAR'!$E$6:$E$45="Takım"),'GENÇ KIZLAR'!$S$6:$S$45,0),{1,2,3})),0)</f>
        <v/>
      </c>
      <c r="E217" s="53">
        <f>IFERROR(SUMPRODUCT(LARGE(IF(('GENÇ KIZLAR'!$D$6:$D$45=A217)*('GENÇ KIZLAR'!$E$6:$E$45="Takım"),'GENÇ KIZLAR'!$X$6:$X$45,0),{1,2,3})),0)</f>
        <v/>
      </c>
      <c r="F217" s="36">
        <f>B217+C217+D217+E217</f>
        <v/>
      </c>
      <c r="G217" s="51" t="n">
        <v>0</v>
      </c>
      <c r="H217" s="36">
        <f>IF(A217="","",F217-IFERROR(G217+0,0))</f>
        <v/>
      </c>
      <c r="I217" s="37">
        <f>IF(A217="","-",RANK.EQ(H217,$H$198:$H$217,0))</f>
        <v/>
      </c>
    </row>
    <row r="220" ht="24" customHeight="1">
      <c r="A220" s="54" t="inlineStr">
        <is>
          <t>GENÇ ERKEKLER  —  TAKIM SIRALAMASI</t>
        </is>
      </c>
    </row>
    <row r="221" ht="22" customHeight="1">
      <c r="A221" s="27" t="inlineStr">
        <is>
          <t>TAKIM ADI</t>
        </is>
      </c>
      <c r="B221" s="27" t="inlineStr">
        <is>
          <t>En İyi 3
FX</t>
        </is>
      </c>
      <c r="C221" s="27" t="inlineStr">
        <is>
          <t>En İyi 3
PH</t>
        </is>
      </c>
      <c r="D221" s="27" t="inlineStr">
        <is>
          <t>En İyi 3
SR</t>
        </is>
      </c>
      <c r="E221" s="27" t="inlineStr">
        <is>
          <t>En İyi 3
VT</t>
        </is>
      </c>
      <c r="F221" s="27" t="inlineStr">
        <is>
          <t>En İyi 3
PB</t>
        </is>
      </c>
      <c r="G221" s="27" t="inlineStr">
        <is>
          <t>En İyi 3
HB</t>
        </is>
      </c>
      <c r="H221" s="27" t="inlineStr">
        <is>
          <t>TOPLAM</t>
        </is>
      </c>
      <c r="I221" s="27" t="inlineStr">
        <is>
          <t>KESİNTİ</t>
        </is>
      </c>
      <c r="J221" s="27" t="inlineStr">
        <is>
          <t>FİNAL PUAN</t>
        </is>
      </c>
      <c r="K221" s="27" t="inlineStr">
        <is>
          <t>SIRALAMA</t>
        </is>
      </c>
    </row>
    <row r="222">
      <c r="A222" s="50" t="n"/>
      <c r="B222" s="33">
        <f>IFERROR(SUMPRODUCT(LARGE(IF(('GENÇ ERKEKLER'!$D$6:$D$45=A222)*('GENÇ ERKEKLER'!$E$6:$E$45="Takım"),'GENÇ ERKEKLER'!$I$6:$I$45,0),{1,2,3})),0)</f>
        <v/>
      </c>
      <c r="C222" s="33">
        <f>IFERROR(SUMPRODUCT(LARGE(IF(('GENÇ ERKEKLER'!$D$6:$D$45=A222)*('GENÇ ERKEKLER'!$E$6:$E$45="Takım"),'GENÇ ERKEKLER'!$N$6:$N$45,0),{1,2,3})),0)</f>
        <v/>
      </c>
      <c r="D222" s="33">
        <f>IFERROR(SUMPRODUCT(LARGE(IF(('GENÇ ERKEKLER'!$D$6:$D$45=A222)*('GENÇ ERKEKLER'!$E$6:$E$45="Takım"),'GENÇ ERKEKLER'!$S$6:$S$45,0),{1,2,3})),0)</f>
        <v/>
      </c>
      <c r="E222" s="33">
        <f>IFERROR(SUMPRODUCT(LARGE(IF(('GENÇ ERKEKLER'!$D$6:$D$45=A222)*('GENÇ ERKEKLER'!$E$6:$E$45="Takım"),'GENÇ ERKEKLER'!$X$6:$X$45,0),{1,2,3})),0)</f>
        <v/>
      </c>
      <c r="F222" s="33">
        <f>IFERROR(SUMPRODUCT(LARGE(IF(('GENÇ ERKEKLER'!$D$6:$D$45=A222)*('GENÇ ERKEKLER'!$E$6:$E$45="Takım"),'GENÇ ERKEKLER'!$AC$6:$AC$45,0),{1,2,3})),0)</f>
        <v/>
      </c>
      <c r="G222" s="33">
        <f>IFERROR(SUMPRODUCT(LARGE(IF(('GENÇ ERKEKLER'!$D$6:$D$45=A222)*('GENÇ ERKEKLER'!$E$6:$E$45="Takım"),'GENÇ ERKEKLER'!$AH$6:$AH$45,0),{1,2,3})),0)</f>
        <v/>
      </c>
      <c r="H222" s="36">
        <f>B222+C222+D222+E222+F222+G222</f>
        <v/>
      </c>
      <c r="I222" s="51" t="n">
        <v>0</v>
      </c>
      <c r="J222" s="36">
        <f>IF(A222="","",H222-IFERROR(I222+0,0))</f>
        <v/>
      </c>
      <c r="K222" s="37">
        <f>IF(A222="","-",RANK.EQ(J222,$J$222:$J$241,0))</f>
        <v/>
      </c>
    </row>
    <row r="223">
      <c r="A223" s="52" t="n"/>
      <c r="B223" s="53">
        <f>IFERROR(SUMPRODUCT(LARGE(IF(('GENÇ ERKEKLER'!$D$6:$D$45=A223)*('GENÇ ERKEKLER'!$E$6:$E$45="Takım"),'GENÇ ERKEKLER'!$I$6:$I$45,0),{1,2,3})),0)</f>
        <v/>
      </c>
      <c r="C223" s="53">
        <f>IFERROR(SUMPRODUCT(LARGE(IF(('GENÇ ERKEKLER'!$D$6:$D$45=A223)*('GENÇ ERKEKLER'!$E$6:$E$45="Takım"),'GENÇ ERKEKLER'!$N$6:$N$45,0),{1,2,3})),0)</f>
        <v/>
      </c>
      <c r="D223" s="53">
        <f>IFERROR(SUMPRODUCT(LARGE(IF(('GENÇ ERKEKLER'!$D$6:$D$45=A223)*('GENÇ ERKEKLER'!$E$6:$E$45="Takım"),'GENÇ ERKEKLER'!$S$6:$S$45,0),{1,2,3})),0)</f>
        <v/>
      </c>
      <c r="E223" s="53">
        <f>IFERROR(SUMPRODUCT(LARGE(IF(('GENÇ ERKEKLER'!$D$6:$D$45=A223)*('GENÇ ERKEKLER'!$E$6:$E$45="Takım"),'GENÇ ERKEKLER'!$X$6:$X$45,0),{1,2,3})),0)</f>
        <v/>
      </c>
      <c r="F223" s="53">
        <f>IFERROR(SUMPRODUCT(LARGE(IF(('GENÇ ERKEKLER'!$D$6:$D$45=A223)*('GENÇ ERKEKLER'!$E$6:$E$45="Takım"),'GENÇ ERKEKLER'!$AC$6:$AC$45,0),{1,2,3})),0)</f>
        <v/>
      </c>
      <c r="G223" s="53">
        <f>IFERROR(SUMPRODUCT(LARGE(IF(('GENÇ ERKEKLER'!$D$6:$D$45=A223)*('GENÇ ERKEKLER'!$E$6:$E$45="Takım"),'GENÇ ERKEKLER'!$AH$6:$AH$45,0),{1,2,3})),0)</f>
        <v/>
      </c>
      <c r="H223" s="36">
        <f>B223+C223+D223+E223+F223+G223</f>
        <v/>
      </c>
      <c r="I223" s="51" t="n">
        <v>0</v>
      </c>
      <c r="J223" s="36">
        <f>IF(A223="","",H223-IFERROR(I223+0,0))</f>
        <v/>
      </c>
      <c r="K223" s="37">
        <f>IF(A223="","-",RANK.EQ(J223,$J$222:$J$241,0))</f>
        <v/>
      </c>
    </row>
    <row r="224">
      <c r="A224" s="50" t="n"/>
      <c r="B224" s="33">
        <f>IFERROR(SUMPRODUCT(LARGE(IF(('GENÇ ERKEKLER'!$D$6:$D$45=A224)*('GENÇ ERKEKLER'!$E$6:$E$45="Takım"),'GENÇ ERKEKLER'!$I$6:$I$45,0),{1,2,3})),0)</f>
        <v/>
      </c>
      <c r="C224" s="33">
        <f>IFERROR(SUMPRODUCT(LARGE(IF(('GENÇ ERKEKLER'!$D$6:$D$45=A224)*('GENÇ ERKEKLER'!$E$6:$E$45="Takım"),'GENÇ ERKEKLER'!$N$6:$N$45,0),{1,2,3})),0)</f>
        <v/>
      </c>
      <c r="D224" s="33">
        <f>IFERROR(SUMPRODUCT(LARGE(IF(('GENÇ ERKEKLER'!$D$6:$D$45=A224)*('GENÇ ERKEKLER'!$E$6:$E$45="Takım"),'GENÇ ERKEKLER'!$S$6:$S$45,0),{1,2,3})),0)</f>
        <v/>
      </c>
      <c r="E224" s="33">
        <f>IFERROR(SUMPRODUCT(LARGE(IF(('GENÇ ERKEKLER'!$D$6:$D$45=A224)*('GENÇ ERKEKLER'!$E$6:$E$45="Takım"),'GENÇ ERKEKLER'!$X$6:$X$45,0),{1,2,3})),0)</f>
        <v/>
      </c>
      <c r="F224" s="33">
        <f>IFERROR(SUMPRODUCT(LARGE(IF(('GENÇ ERKEKLER'!$D$6:$D$45=A224)*('GENÇ ERKEKLER'!$E$6:$E$45="Takım"),'GENÇ ERKEKLER'!$AC$6:$AC$45,0),{1,2,3})),0)</f>
        <v/>
      </c>
      <c r="G224" s="33">
        <f>IFERROR(SUMPRODUCT(LARGE(IF(('GENÇ ERKEKLER'!$D$6:$D$45=A224)*('GENÇ ERKEKLER'!$E$6:$E$45="Takım"),'GENÇ ERKEKLER'!$AH$6:$AH$45,0),{1,2,3})),0)</f>
        <v/>
      </c>
      <c r="H224" s="36">
        <f>B224+C224+D224+E224+F224+G224</f>
        <v/>
      </c>
      <c r="I224" s="51" t="n">
        <v>0</v>
      </c>
      <c r="J224" s="36">
        <f>IF(A224="","",H224-IFERROR(I224+0,0))</f>
        <v/>
      </c>
      <c r="K224" s="37">
        <f>IF(A224="","-",RANK.EQ(J224,$J$222:$J$241,0))</f>
        <v/>
      </c>
    </row>
    <row r="225">
      <c r="A225" s="52" t="n"/>
      <c r="B225" s="53">
        <f>IFERROR(SUMPRODUCT(LARGE(IF(('GENÇ ERKEKLER'!$D$6:$D$45=A225)*('GENÇ ERKEKLER'!$E$6:$E$45="Takım"),'GENÇ ERKEKLER'!$I$6:$I$45,0),{1,2,3})),0)</f>
        <v/>
      </c>
      <c r="C225" s="53">
        <f>IFERROR(SUMPRODUCT(LARGE(IF(('GENÇ ERKEKLER'!$D$6:$D$45=A225)*('GENÇ ERKEKLER'!$E$6:$E$45="Takım"),'GENÇ ERKEKLER'!$N$6:$N$45,0),{1,2,3})),0)</f>
        <v/>
      </c>
      <c r="D225" s="53">
        <f>IFERROR(SUMPRODUCT(LARGE(IF(('GENÇ ERKEKLER'!$D$6:$D$45=A225)*('GENÇ ERKEKLER'!$E$6:$E$45="Takım"),'GENÇ ERKEKLER'!$S$6:$S$45,0),{1,2,3})),0)</f>
        <v/>
      </c>
      <c r="E225" s="53">
        <f>IFERROR(SUMPRODUCT(LARGE(IF(('GENÇ ERKEKLER'!$D$6:$D$45=A225)*('GENÇ ERKEKLER'!$E$6:$E$45="Takım"),'GENÇ ERKEKLER'!$X$6:$X$45,0),{1,2,3})),0)</f>
        <v/>
      </c>
      <c r="F225" s="53">
        <f>IFERROR(SUMPRODUCT(LARGE(IF(('GENÇ ERKEKLER'!$D$6:$D$45=A225)*('GENÇ ERKEKLER'!$E$6:$E$45="Takım"),'GENÇ ERKEKLER'!$AC$6:$AC$45,0),{1,2,3})),0)</f>
        <v/>
      </c>
      <c r="G225" s="53">
        <f>IFERROR(SUMPRODUCT(LARGE(IF(('GENÇ ERKEKLER'!$D$6:$D$45=A225)*('GENÇ ERKEKLER'!$E$6:$E$45="Takım"),'GENÇ ERKEKLER'!$AH$6:$AH$45,0),{1,2,3})),0)</f>
        <v/>
      </c>
      <c r="H225" s="36">
        <f>B225+C225+D225+E225+F225+G225</f>
        <v/>
      </c>
      <c r="I225" s="51" t="n">
        <v>0</v>
      </c>
      <c r="J225" s="36">
        <f>IF(A225="","",H225-IFERROR(I225+0,0))</f>
        <v/>
      </c>
      <c r="K225" s="37">
        <f>IF(A225="","-",RANK.EQ(J225,$J$222:$J$241,0))</f>
        <v/>
      </c>
    </row>
    <row r="226">
      <c r="A226" s="50" t="n"/>
      <c r="B226" s="33">
        <f>IFERROR(SUMPRODUCT(LARGE(IF(('GENÇ ERKEKLER'!$D$6:$D$45=A226)*('GENÇ ERKEKLER'!$E$6:$E$45="Takım"),'GENÇ ERKEKLER'!$I$6:$I$45,0),{1,2,3})),0)</f>
        <v/>
      </c>
      <c r="C226" s="33">
        <f>IFERROR(SUMPRODUCT(LARGE(IF(('GENÇ ERKEKLER'!$D$6:$D$45=A226)*('GENÇ ERKEKLER'!$E$6:$E$45="Takım"),'GENÇ ERKEKLER'!$N$6:$N$45,0),{1,2,3})),0)</f>
        <v/>
      </c>
      <c r="D226" s="33">
        <f>IFERROR(SUMPRODUCT(LARGE(IF(('GENÇ ERKEKLER'!$D$6:$D$45=A226)*('GENÇ ERKEKLER'!$E$6:$E$45="Takım"),'GENÇ ERKEKLER'!$S$6:$S$45,0),{1,2,3})),0)</f>
        <v/>
      </c>
      <c r="E226" s="33">
        <f>IFERROR(SUMPRODUCT(LARGE(IF(('GENÇ ERKEKLER'!$D$6:$D$45=A226)*('GENÇ ERKEKLER'!$E$6:$E$45="Takım"),'GENÇ ERKEKLER'!$X$6:$X$45,0),{1,2,3})),0)</f>
        <v/>
      </c>
      <c r="F226" s="33">
        <f>IFERROR(SUMPRODUCT(LARGE(IF(('GENÇ ERKEKLER'!$D$6:$D$45=A226)*('GENÇ ERKEKLER'!$E$6:$E$45="Takım"),'GENÇ ERKEKLER'!$AC$6:$AC$45,0),{1,2,3})),0)</f>
        <v/>
      </c>
      <c r="G226" s="33">
        <f>IFERROR(SUMPRODUCT(LARGE(IF(('GENÇ ERKEKLER'!$D$6:$D$45=A226)*('GENÇ ERKEKLER'!$E$6:$E$45="Takım"),'GENÇ ERKEKLER'!$AH$6:$AH$45,0),{1,2,3})),0)</f>
        <v/>
      </c>
      <c r="H226" s="36">
        <f>B226+C226+D226+E226+F226+G226</f>
        <v/>
      </c>
      <c r="I226" s="51" t="n">
        <v>0</v>
      </c>
      <c r="J226" s="36">
        <f>IF(A226="","",H226-IFERROR(I226+0,0))</f>
        <v/>
      </c>
      <c r="K226" s="37">
        <f>IF(A226="","-",RANK.EQ(J226,$J$222:$J$241,0))</f>
        <v/>
      </c>
    </row>
    <row r="227">
      <c r="A227" s="52" t="n"/>
      <c r="B227" s="53">
        <f>IFERROR(SUMPRODUCT(LARGE(IF(('GENÇ ERKEKLER'!$D$6:$D$45=A227)*('GENÇ ERKEKLER'!$E$6:$E$45="Takım"),'GENÇ ERKEKLER'!$I$6:$I$45,0),{1,2,3})),0)</f>
        <v/>
      </c>
      <c r="C227" s="53">
        <f>IFERROR(SUMPRODUCT(LARGE(IF(('GENÇ ERKEKLER'!$D$6:$D$45=A227)*('GENÇ ERKEKLER'!$E$6:$E$45="Takım"),'GENÇ ERKEKLER'!$N$6:$N$45,0),{1,2,3})),0)</f>
        <v/>
      </c>
      <c r="D227" s="53">
        <f>IFERROR(SUMPRODUCT(LARGE(IF(('GENÇ ERKEKLER'!$D$6:$D$45=A227)*('GENÇ ERKEKLER'!$E$6:$E$45="Takım"),'GENÇ ERKEKLER'!$S$6:$S$45,0),{1,2,3})),0)</f>
        <v/>
      </c>
      <c r="E227" s="53">
        <f>IFERROR(SUMPRODUCT(LARGE(IF(('GENÇ ERKEKLER'!$D$6:$D$45=A227)*('GENÇ ERKEKLER'!$E$6:$E$45="Takım"),'GENÇ ERKEKLER'!$X$6:$X$45,0),{1,2,3})),0)</f>
        <v/>
      </c>
      <c r="F227" s="53">
        <f>IFERROR(SUMPRODUCT(LARGE(IF(('GENÇ ERKEKLER'!$D$6:$D$45=A227)*('GENÇ ERKEKLER'!$E$6:$E$45="Takım"),'GENÇ ERKEKLER'!$AC$6:$AC$45,0),{1,2,3})),0)</f>
        <v/>
      </c>
      <c r="G227" s="53">
        <f>IFERROR(SUMPRODUCT(LARGE(IF(('GENÇ ERKEKLER'!$D$6:$D$45=A227)*('GENÇ ERKEKLER'!$E$6:$E$45="Takım"),'GENÇ ERKEKLER'!$AH$6:$AH$45,0),{1,2,3})),0)</f>
        <v/>
      </c>
      <c r="H227" s="36">
        <f>B227+C227+D227+E227+F227+G227</f>
        <v/>
      </c>
      <c r="I227" s="51" t="n">
        <v>0</v>
      </c>
      <c r="J227" s="36">
        <f>IF(A227="","",H227-IFERROR(I227+0,0))</f>
        <v/>
      </c>
      <c r="K227" s="37">
        <f>IF(A227="","-",RANK.EQ(J227,$J$222:$J$241,0))</f>
        <v/>
      </c>
    </row>
    <row r="228">
      <c r="A228" s="50" t="n"/>
      <c r="B228" s="33">
        <f>IFERROR(SUMPRODUCT(LARGE(IF(('GENÇ ERKEKLER'!$D$6:$D$45=A228)*('GENÇ ERKEKLER'!$E$6:$E$45="Takım"),'GENÇ ERKEKLER'!$I$6:$I$45,0),{1,2,3})),0)</f>
        <v/>
      </c>
      <c r="C228" s="33">
        <f>IFERROR(SUMPRODUCT(LARGE(IF(('GENÇ ERKEKLER'!$D$6:$D$45=A228)*('GENÇ ERKEKLER'!$E$6:$E$45="Takım"),'GENÇ ERKEKLER'!$N$6:$N$45,0),{1,2,3})),0)</f>
        <v/>
      </c>
      <c r="D228" s="33">
        <f>IFERROR(SUMPRODUCT(LARGE(IF(('GENÇ ERKEKLER'!$D$6:$D$45=A228)*('GENÇ ERKEKLER'!$E$6:$E$45="Takım"),'GENÇ ERKEKLER'!$S$6:$S$45,0),{1,2,3})),0)</f>
        <v/>
      </c>
      <c r="E228" s="33">
        <f>IFERROR(SUMPRODUCT(LARGE(IF(('GENÇ ERKEKLER'!$D$6:$D$45=A228)*('GENÇ ERKEKLER'!$E$6:$E$45="Takım"),'GENÇ ERKEKLER'!$X$6:$X$45,0),{1,2,3})),0)</f>
        <v/>
      </c>
      <c r="F228" s="33">
        <f>IFERROR(SUMPRODUCT(LARGE(IF(('GENÇ ERKEKLER'!$D$6:$D$45=A228)*('GENÇ ERKEKLER'!$E$6:$E$45="Takım"),'GENÇ ERKEKLER'!$AC$6:$AC$45,0),{1,2,3})),0)</f>
        <v/>
      </c>
      <c r="G228" s="33">
        <f>IFERROR(SUMPRODUCT(LARGE(IF(('GENÇ ERKEKLER'!$D$6:$D$45=A228)*('GENÇ ERKEKLER'!$E$6:$E$45="Takım"),'GENÇ ERKEKLER'!$AH$6:$AH$45,0),{1,2,3})),0)</f>
        <v/>
      </c>
      <c r="H228" s="36">
        <f>B228+C228+D228+E228+F228+G228</f>
        <v/>
      </c>
      <c r="I228" s="51" t="n">
        <v>0</v>
      </c>
      <c r="J228" s="36">
        <f>IF(A228="","",H228-IFERROR(I228+0,0))</f>
        <v/>
      </c>
      <c r="K228" s="37">
        <f>IF(A228="","-",RANK.EQ(J228,$J$222:$J$241,0))</f>
        <v/>
      </c>
    </row>
    <row r="229">
      <c r="A229" s="52" t="n"/>
      <c r="B229" s="53">
        <f>IFERROR(SUMPRODUCT(LARGE(IF(('GENÇ ERKEKLER'!$D$6:$D$45=A229)*('GENÇ ERKEKLER'!$E$6:$E$45="Takım"),'GENÇ ERKEKLER'!$I$6:$I$45,0),{1,2,3})),0)</f>
        <v/>
      </c>
      <c r="C229" s="53">
        <f>IFERROR(SUMPRODUCT(LARGE(IF(('GENÇ ERKEKLER'!$D$6:$D$45=A229)*('GENÇ ERKEKLER'!$E$6:$E$45="Takım"),'GENÇ ERKEKLER'!$N$6:$N$45,0),{1,2,3})),0)</f>
        <v/>
      </c>
      <c r="D229" s="53">
        <f>IFERROR(SUMPRODUCT(LARGE(IF(('GENÇ ERKEKLER'!$D$6:$D$45=A229)*('GENÇ ERKEKLER'!$E$6:$E$45="Takım"),'GENÇ ERKEKLER'!$S$6:$S$45,0),{1,2,3})),0)</f>
        <v/>
      </c>
      <c r="E229" s="53">
        <f>IFERROR(SUMPRODUCT(LARGE(IF(('GENÇ ERKEKLER'!$D$6:$D$45=A229)*('GENÇ ERKEKLER'!$E$6:$E$45="Takım"),'GENÇ ERKEKLER'!$X$6:$X$45,0),{1,2,3})),0)</f>
        <v/>
      </c>
      <c r="F229" s="53">
        <f>IFERROR(SUMPRODUCT(LARGE(IF(('GENÇ ERKEKLER'!$D$6:$D$45=A229)*('GENÇ ERKEKLER'!$E$6:$E$45="Takım"),'GENÇ ERKEKLER'!$AC$6:$AC$45,0),{1,2,3})),0)</f>
        <v/>
      </c>
      <c r="G229" s="53">
        <f>IFERROR(SUMPRODUCT(LARGE(IF(('GENÇ ERKEKLER'!$D$6:$D$45=A229)*('GENÇ ERKEKLER'!$E$6:$E$45="Takım"),'GENÇ ERKEKLER'!$AH$6:$AH$45,0),{1,2,3})),0)</f>
        <v/>
      </c>
      <c r="H229" s="36">
        <f>B229+C229+D229+E229+F229+G229</f>
        <v/>
      </c>
      <c r="I229" s="51" t="n">
        <v>0</v>
      </c>
      <c r="J229" s="36">
        <f>IF(A229="","",H229-IFERROR(I229+0,0))</f>
        <v/>
      </c>
      <c r="K229" s="37">
        <f>IF(A229="","-",RANK.EQ(J229,$J$222:$J$241,0))</f>
        <v/>
      </c>
    </row>
    <row r="230">
      <c r="A230" s="50" t="n"/>
      <c r="B230" s="33">
        <f>IFERROR(SUMPRODUCT(LARGE(IF(('GENÇ ERKEKLER'!$D$6:$D$45=A230)*('GENÇ ERKEKLER'!$E$6:$E$45="Takım"),'GENÇ ERKEKLER'!$I$6:$I$45,0),{1,2,3})),0)</f>
        <v/>
      </c>
      <c r="C230" s="33">
        <f>IFERROR(SUMPRODUCT(LARGE(IF(('GENÇ ERKEKLER'!$D$6:$D$45=A230)*('GENÇ ERKEKLER'!$E$6:$E$45="Takım"),'GENÇ ERKEKLER'!$N$6:$N$45,0),{1,2,3})),0)</f>
        <v/>
      </c>
      <c r="D230" s="33">
        <f>IFERROR(SUMPRODUCT(LARGE(IF(('GENÇ ERKEKLER'!$D$6:$D$45=A230)*('GENÇ ERKEKLER'!$E$6:$E$45="Takım"),'GENÇ ERKEKLER'!$S$6:$S$45,0),{1,2,3})),0)</f>
        <v/>
      </c>
      <c r="E230" s="33">
        <f>IFERROR(SUMPRODUCT(LARGE(IF(('GENÇ ERKEKLER'!$D$6:$D$45=A230)*('GENÇ ERKEKLER'!$E$6:$E$45="Takım"),'GENÇ ERKEKLER'!$X$6:$X$45,0),{1,2,3})),0)</f>
        <v/>
      </c>
      <c r="F230" s="33">
        <f>IFERROR(SUMPRODUCT(LARGE(IF(('GENÇ ERKEKLER'!$D$6:$D$45=A230)*('GENÇ ERKEKLER'!$E$6:$E$45="Takım"),'GENÇ ERKEKLER'!$AC$6:$AC$45,0),{1,2,3})),0)</f>
        <v/>
      </c>
      <c r="G230" s="33">
        <f>IFERROR(SUMPRODUCT(LARGE(IF(('GENÇ ERKEKLER'!$D$6:$D$45=A230)*('GENÇ ERKEKLER'!$E$6:$E$45="Takım"),'GENÇ ERKEKLER'!$AH$6:$AH$45,0),{1,2,3})),0)</f>
        <v/>
      </c>
      <c r="H230" s="36">
        <f>B230+C230+D230+E230+F230+G230</f>
        <v/>
      </c>
      <c r="I230" s="51" t="n">
        <v>0</v>
      </c>
      <c r="J230" s="36">
        <f>IF(A230="","",H230-IFERROR(I230+0,0))</f>
        <v/>
      </c>
      <c r="K230" s="37">
        <f>IF(A230="","-",RANK.EQ(J230,$J$222:$J$241,0))</f>
        <v/>
      </c>
    </row>
    <row r="231">
      <c r="A231" s="52" t="n"/>
      <c r="B231" s="53">
        <f>IFERROR(SUMPRODUCT(LARGE(IF(('GENÇ ERKEKLER'!$D$6:$D$45=A231)*('GENÇ ERKEKLER'!$E$6:$E$45="Takım"),'GENÇ ERKEKLER'!$I$6:$I$45,0),{1,2,3})),0)</f>
        <v/>
      </c>
      <c r="C231" s="53">
        <f>IFERROR(SUMPRODUCT(LARGE(IF(('GENÇ ERKEKLER'!$D$6:$D$45=A231)*('GENÇ ERKEKLER'!$E$6:$E$45="Takım"),'GENÇ ERKEKLER'!$N$6:$N$45,0),{1,2,3})),0)</f>
        <v/>
      </c>
      <c r="D231" s="53">
        <f>IFERROR(SUMPRODUCT(LARGE(IF(('GENÇ ERKEKLER'!$D$6:$D$45=A231)*('GENÇ ERKEKLER'!$E$6:$E$45="Takım"),'GENÇ ERKEKLER'!$S$6:$S$45,0),{1,2,3})),0)</f>
        <v/>
      </c>
      <c r="E231" s="53">
        <f>IFERROR(SUMPRODUCT(LARGE(IF(('GENÇ ERKEKLER'!$D$6:$D$45=A231)*('GENÇ ERKEKLER'!$E$6:$E$45="Takım"),'GENÇ ERKEKLER'!$X$6:$X$45,0),{1,2,3})),0)</f>
        <v/>
      </c>
      <c r="F231" s="53">
        <f>IFERROR(SUMPRODUCT(LARGE(IF(('GENÇ ERKEKLER'!$D$6:$D$45=A231)*('GENÇ ERKEKLER'!$E$6:$E$45="Takım"),'GENÇ ERKEKLER'!$AC$6:$AC$45,0),{1,2,3})),0)</f>
        <v/>
      </c>
      <c r="G231" s="53">
        <f>IFERROR(SUMPRODUCT(LARGE(IF(('GENÇ ERKEKLER'!$D$6:$D$45=A231)*('GENÇ ERKEKLER'!$E$6:$E$45="Takım"),'GENÇ ERKEKLER'!$AH$6:$AH$45,0),{1,2,3})),0)</f>
        <v/>
      </c>
      <c r="H231" s="36">
        <f>B231+C231+D231+E231+F231+G231</f>
        <v/>
      </c>
      <c r="I231" s="51" t="n">
        <v>0</v>
      </c>
      <c r="J231" s="36">
        <f>IF(A231="","",H231-IFERROR(I231+0,0))</f>
        <v/>
      </c>
      <c r="K231" s="37">
        <f>IF(A231="","-",RANK.EQ(J231,$J$222:$J$241,0))</f>
        <v/>
      </c>
    </row>
    <row r="232">
      <c r="A232" s="50" t="n"/>
      <c r="B232" s="33">
        <f>IFERROR(SUMPRODUCT(LARGE(IF(('GENÇ ERKEKLER'!$D$6:$D$45=A232)*('GENÇ ERKEKLER'!$E$6:$E$45="Takım"),'GENÇ ERKEKLER'!$I$6:$I$45,0),{1,2,3})),0)</f>
        <v/>
      </c>
      <c r="C232" s="33">
        <f>IFERROR(SUMPRODUCT(LARGE(IF(('GENÇ ERKEKLER'!$D$6:$D$45=A232)*('GENÇ ERKEKLER'!$E$6:$E$45="Takım"),'GENÇ ERKEKLER'!$N$6:$N$45,0),{1,2,3})),0)</f>
        <v/>
      </c>
      <c r="D232" s="33">
        <f>IFERROR(SUMPRODUCT(LARGE(IF(('GENÇ ERKEKLER'!$D$6:$D$45=A232)*('GENÇ ERKEKLER'!$E$6:$E$45="Takım"),'GENÇ ERKEKLER'!$S$6:$S$45,0),{1,2,3})),0)</f>
        <v/>
      </c>
      <c r="E232" s="33">
        <f>IFERROR(SUMPRODUCT(LARGE(IF(('GENÇ ERKEKLER'!$D$6:$D$45=A232)*('GENÇ ERKEKLER'!$E$6:$E$45="Takım"),'GENÇ ERKEKLER'!$X$6:$X$45,0),{1,2,3})),0)</f>
        <v/>
      </c>
      <c r="F232" s="33">
        <f>IFERROR(SUMPRODUCT(LARGE(IF(('GENÇ ERKEKLER'!$D$6:$D$45=A232)*('GENÇ ERKEKLER'!$E$6:$E$45="Takım"),'GENÇ ERKEKLER'!$AC$6:$AC$45,0),{1,2,3})),0)</f>
        <v/>
      </c>
      <c r="G232" s="33">
        <f>IFERROR(SUMPRODUCT(LARGE(IF(('GENÇ ERKEKLER'!$D$6:$D$45=A232)*('GENÇ ERKEKLER'!$E$6:$E$45="Takım"),'GENÇ ERKEKLER'!$AH$6:$AH$45,0),{1,2,3})),0)</f>
        <v/>
      </c>
      <c r="H232" s="36">
        <f>B232+C232+D232+E232+F232+G232</f>
        <v/>
      </c>
      <c r="I232" s="51" t="n">
        <v>0</v>
      </c>
      <c r="J232" s="36">
        <f>IF(A232="","",H232-IFERROR(I232+0,0))</f>
        <v/>
      </c>
      <c r="K232" s="37">
        <f>IF(A232="","-",RANK.EQ(J232,$J$222:$J$241,0))</f>
        <v/>
      </c>
    </row>
    <row r="233">
      <c r="A233" s="52" t="n"/>
      <c r="B233" s="53">
        <f>IFERROR(SUMPRODUCT(LARGE(IF(('GENÇ ERKEKLER'!$D$6:$D$45=A233)*('GENÇ ERKEKLER'!$E$6:$E$45="Takım"),'GENÇ ERKEKLER'!$I$6:$I$45,0),{1,2,3})),0)</f>
        <v/>
      </c>
      <c r="C233" s="53">
        <f>IFERROR(SUMPRODUCT(LARGE(IF(('GENÇ ERKEKLER'!$D$6:$D$45=A233)*('GENÇ ERKEKLER'!$E$6:$E$45="Takım"),'GENÇ ERKEKLER'!$N$6:$N$45,0),{1,2,3})),0)</f>
        <v/>
      </c>
      <c r="D233" s="53">
        <f>IFERROR(SUMPRODUCT(LARGE(IF(('GENÇ ERKEKLER'!$D$6:$D$45=A233)*('GENÇ ERKEKLER'!$E$6:$E$45="Takım"),'GENÇ ERKEKLER'!$S$6:$S$45,0),{1,2,3})),0)</f>
        <v/>
      </c>
      <c r="E233" s="53">
        <f>IFERROR(SUMPRODUCT(LARGE(IF(('GENÇ ERKEKLER'!$D$6:$D$45=A233)*('GENÇ ERKEKLER'!$E$6:$E$45="Takım"),'GENÇ ERKEKLER'!$X$6:$X$45,0),{1,2,3})),0)</f>
        <v/>
      </c>
      <c r="F233" s="53">
        <f>IFERROR(SUMPRODUCT(LARGE(IF(('GENÇ ERKEKLER'!$D$6:$D$45=A233)*('GENÇ ERKEKLER'!$E$6:$E$45="Takım"),'GENÇ ERKEKLER'!$AC$6:$AC$45,0),{1,2,3})),0)</f>
        <v/>
      </c>
      <c r="G233" s="53">
        <f>IFERROR(SUMPRODUCT(LARGE(IF(('GENÇ ERKEKLER'!$D$6:$D$45=A233)*('GENÇ ERKEKLER'!$E$6:$E$45="Takım"),'GENÇ ERKEKLER'!$AH$6:$AH$45,0),{1,2,3})),0)</f>
        <v/>
      </c>
      <c r="H233" s="36">
        <f>B233+C233+D233+E233+F233+G233</f>
        <v/>
      </c>
      <c r="I233" s="51" t="n">
        <v>0</v>
      </c>
      <c r="J233" s="36">
        <f>IF(A233="","",H233-IFERROR(I233+0,0))</f>
        <v/>
      </c>
      <c r="K233" s="37">
        <f>IF(A233="","-",RANK.EQ(J233,$J$222:$J$241,0))</f>
        <v/>
      </c>
    </row>
    <row r="234">
      <c r="A234" s="50" t="n"/>
      <c r="B234" s="33">
        <f>IFERROR(SUMPRODUCT(LARGE(IF(('GENÇ ERKEKLER'!$D$6:$D$45=A234)*('GENÇ ERKEKLER'!$E$6:$E$45="Takım"),'GENÇ ERKEKLER'!$I$6:$I$45,0),{1,2,3})),0)</f>
        <v/>
      </c>
      <c r="C234" s="33">
        <f>IFERROR(SUMPRODUCT(LARGE(IF(('GENÇ ERKEKLER'!$D$6:$D$45=A234)*('GENÇ ERKEKLER'!$E$6:$E$45="Takım"),'GENÇ ERKEKLER'!$N$6:$N$45,0),{1,2,3})),0)</f>
        <v/>
      </c>
      <c r="D234" s="33">
        <f>IFERROR(SUMPRODUCT(LARGE(IF(('GENÇ ERKEKLER'!$D$6:$D$45=A234)*('GENÇ ERKEKLER'!$E$6:$E$45="Takım"),'GENÇ ERKEKLER'!$S$6:$S$45,0),{1,2,3})),0)</f>
        <v/>
      </c>
      <c r="E234" s="33">
        <f>IFERROR(SUMPRODUCT(LARGE(IF(('GENÇ ERKEKLER'!$D$6:$D$45=A234)*('GENÇ ERKEKLER'!$E$6:$E$45="Takım"),'GENÇ ERKEKLER'!$X$6:$X$45,0),{1,2,3})),0)</f>
        <v/>
      </c>
      <c r="F234" s="33">
        <f>IFERROR(SUMPRODUCT(LARGE(IF(('GENÇ ERKEKLER'!$D$6:$D$45=A234)*('GENÇ ERKEKLER'!$E$6:$E$45="Takım"),'GENÇ ERKEKLER'!$AC$6:$AC$45,0),{1,2,3})),0)</f>
        <v/>
      </c>
      <c r="G234" s="33">
        <f>IFERROR(SUMPRODUCT(LARGE(IF(('GENÇ ERKEKLER'!$D$6:$D$45=A234)*('GENÇ ERKEKLER'!$E$6:$E$45="Takım"),'GENÇ ERKEKLER'!$AH$6:$AH$45,0),{1,2,3})),0)</f>
        <v/>
      </c>
      <c r="H234" s="36">
        <f>B234+C234+D234+E234+F234+G234</f>
        <v/>
      </c>
      <c r="I234" s="51" t="n">
        <v>0</v>
      </c>
      <c r="J234" s="36">
        <f>IF(A234="","",H234-IFERROR(I234+0,0))</f>
        <v/>
      </c>
      <c r="K234" s="37">
        <f>IF(A234="","-",RANK.EQ(J234,$J$222:$J$241,0))</f>
        <v/>
      </c>
    </row>
    <row r="235">
      <c r="A235" s="52" t="n"/>
      <c r="B235" s="53">
        <f>IFERROR(SUMPRODUCT(LARGE(IF(('GENÇ ERKEKLER'!$D$6:$D$45=A235)*('GENÇ ERKEKLER'!$E$6:$E$45="Takım"),'GENÇ ERKEKLER'!$I$6:$I$45,0),{1,2,3})),0)</f>
        <v/>
      </c>
      <c r="C235" s="53">
        <f>IFERROR(SUMPRODUCT(LARGE(IF(('GENÇ ERKEKLER'!$D$6:$D$45=A235)*('GENÇ ERKEKLER'!$E$6:$E$45="Takım"),'GENÇ ERKEKLER'!$N$6:$N$45,0),{1,2,3})),0)</f>
        <v/>
      </c>
      <c r="D235" s="53">
        <f>IFERROR(SUMPRODUCT(LARGE(IF(('GENÇ ERKEKLER'!$D$6:$D$45=A235)*('GENÇ ERKEKLER'!$E$6:$E$45="Takım"),'GENÇ ERKEKLER'!$S$6:$S$45,0),{1,2,3})),0)</f>
        <v/>
      </c>
      <c r="E235" s="53">
        <f>IFERROR(SUMPRODUCT(LARGE(IF(('GENÇ ERKEKLER'!$D$6:$D$45=A235)*('GENÇ ERKEKLER'!$E$6:$E$45="Takım"),'GENÇ ERKEKLER'!$X$6:$X$45,0),{1,2,3})),0)</f>
        <v/>
      </c>
      <c r="F235" s="53">
        <f>IFERROR(SUMPRODUCT(LARGE(IF(('GENÇ ERKEKLER'!$D$6:$D$45=A235)*('GENÇ ERKEKLER'!$E$6:$E$45="Takım"),'GENÇ ERKEKLER'!$AC$6:$AC$45,0),{1,2,3})),0)</f>
        <v/>
      </c>
      <c r="G235" s="53">
        <f>IFERROR(SUMPRODUCT(LARGE(IF(('GENÇ ERKEKLER'!$D$6:$D$45=A235)*('GENÇ ERKEKLER'!$E$6:$E$45="Takım"),'GENÇ ERKEKLER'!$AH$6:$AH$45,0),{1,2,3})),0)</f>
        <v/>
      </c>
      <c r="H235" s="36">
        <f>B235+C235+D235+E235+F235+G235</f>
        <v/>
      </c>
      <c r="I235" s="51" t="n">
        <v>0</v>
      </c>
      <c r="J235" s="36">
        <f>IF(A235="","",H235-IFERROR(I235+0,0))</f>
        <v/>
      </c>
      <c r="K235" s="37">
        <f>IF(A235="","-",RANK.EQ(J235,$J$222:$J$241,0))</f>
        <v/>
      </c>
    </row>
    <row r="236">
      <c r="A236" s="50" t="n"/>
      <c r="B236" s="33">
        <f>IFERROR(SUMPRODUCT(LARGE(IF(('GENÇ ERKEKLER'!$D$6:$D$45=A236)*('GENÇ ERKEKLER'!$E$6:$E$45="Takım"),'GENÇ ERKEKLER'!$I$6:$I$45,0),{1,2,3})),0)</f>
        <v/>
      </c>
      <c r="C236" s="33">
        <f>IFERROR(SUMPRODUCT(LARGE(IF(('GENÇ ERKEKLER'!$D$6:$D$45=A236)*('GENÇ ERKEKLER'!$E$6:$E$45="Takım"),'GENÇ ERKEKLER'!$N$6:$N$45,0),{1,2,3})),0)</f>
        <v/>
      </c>
      <c r="D236" s="33">
        <f>IFERROR(SUMPRODUCT(LARGE(IF(('GENÇ ERKEKLER'!$D$6:$D$45=A236)*('GENÇ ERKEKLER'!$E$6:$E$45="Takım"),'GENÇ ERKEKLER'!$S$6:$S$45,0),{1,2,3})),0)</f>
        <v/>
      </c>
      <c r="E236" s="33">
        <f>IFERROR(SUMPRODUCT(LARGE(IF(('GENÇ ERKEKLER'!$D$6:$D$45=A236)*('GENÇ ERKEKLER'!$E$6:$E$45="Takım"),'GENÇ ERKEKLER'!$X$6:$X$45,0),{1,2,3})),0)</f>
        <v/>
      </c>
      <c r="F236" s="33">
        <f>IFERROR(SUMPRODUCT(LARGE(IF(('GENÇ ERKEKLER'!$D$6:$D$45=A236)*('GENÇ ERKEKLER'!$E$6:$E$45="Takım"),'GENÇ ERKEKLER'!$AC$6:$AC$45,0),{1,2,3})),0)</f>
        <v/>
      </c>
      <c r="G236" s="33">
        <f>IFERROR(SUMPRODUCT(LARGE(IF(('GENÇ ERKEKLER'!$D$6:$D$45=A236)*('GENÇ ERKEKLER'!$E$6:$E$45="Takım"),'GENÇ ERKEKLER'!$AH$6:$AH$45,0),{1,2,3})),0)</f>
        <v/>
      </c>
      <c r="H236" s="36">
        <f>B236+C236+D236+E236+F236+G236</f>
        <v/>
      </c>
      <c r="I236" s="51" t="n">
        <v>0</v>
      </c>
      <c r="J236" s="36">
        <f>IF(A236="","",H236-IFERROR(I236+0,0))</f>
        <v/>
      </c>
      <c r="K236" s="37">
        <f>IF(A236="","-",RANK.EQ(J236,$J$222:$J$241,0))</f>
        <v/>
      </c>
    </row>
    <row r="237">
      <c r="A237" s="52" t="n"/>
      <c r="B237" s="53">
        <f>IFERROR(SUMPRODUCT(LARGE(IF(('GENÇ ERKEKLER'!$D$6:$D$45=A237)*('GENÇ ERKEKLER'!$E$6:$E$45="Takım"),'GENÇ ERKEKLER'!$I$6:$I$45,0),{1,2,3})),0)</f>
        <v/>
      </c>
      <c r="C237" s="53">
        <f>IFERROR(SUMPRODUCT(LARGE(IF(('GENÇ ERKEKLER'!$D$6:$D$45=A237)*('GENÇ ERKEKLER'!$E$6:$E$45="Takım"),'GENÇ ERKEKLER'!$N$6:$N$45,0),{1,2,3})),0)</f>
        <v/>
      </c>
      <c r="D237" s="53">
        <f>IFERROR(SUMPRODUCT(LARGE(IF(('GENÇ ERKEKLER'!$D$6:$D$45=A237)*('GENÇ ERKEKLER'!$E$6:$E$45="Takım"),'GENÇ ERKEKLER'!$S$6:$S$45,0),{1,2,3})),0)</f>
        <v/>
      </c>
      <c r="E237" s="53">
        <f>IFERROR(SUMPRODUCT(LARGE(IF(('GENÇ ERKEKLER'!$D$6:$D$45=A237)*('GENÇ ERKEKLER'!$E$6:$E$45="Takım"),'GENÇ ERKEKLER'!$X$6:$X$45,0),{1,2,3})),0)</f>
        <v/>
      </c>
      <c r="F237" s="53">
        <f>IFERROR(SUMPRODUCT(LARGE(IF(('GENÇ ERKEKLER'!$D$6:$D$45=A237)*('GENÇ ERKEKLER'!$E$6:$E$45="Takım"),'GENÇ ERKEKLER'!$AC$6:$AC$45,0),{1,2,3})),0)</f>
        <v/>
      </c>
      <c r="G237" s="53">
        <f>IFERROR(SUMPRODUCT(LARGE(IF(('GENÇ ERKEKLER'!$D$6:$D$45=A237)*('GENÇ ERKEKLER'!$E$6:$E$45="Takım"),'GENÇ ERKEKLER'!$AH$6:$AH$45,0),{1,2,3})),0)</f>
        <v/>
      </c>
      <c r="H237" s="36">
        <f>B237+C237+D237+E237+F237+G237</f>
        <v/>
      </c>
      <c r="I237" s="51" t="n">
        <v>0</v>
      </c>
      <c r="J237" s="36">
        <f>IF(A237="","",H237-IFERROR(I237+0,0))</f>
        <v/>
      </c>
      <c r="K237" s="37">
        <f>IF(A237="","-",RANK.EQ(J237,$J$222:$J$241,0))</f>
        <v/>
      </c>
    </row>
    <row r="238">
      <c r="A238" s="50" t="n"/>
      <c r="B238" s="33">
        <f>IFERROR(SUMPRODUCT(LARGE(IF(('GENÇ ERKEKLER'!$D$6:$D$45=A238)*('GENÇ ERKEKLER'!$E$6:$E$45="Takım"),'GENÇ ERKEKLER'!$I$6:$I$45,0),{1,2,3})),0)</f>
        <v/>
      </c>
      <c r="C238" s="33">
        <f>IFERROR(SUMPRODUCT(LARGE(IF(('GENÇ ERKEKLER'!$D$6:$D$45=A238)*('GENÇ ERKEKLER'!$E$6:$E$45="Takım"),'GENÇ ERKEKLER'!$N$6:$N$45,0),{1,2,3})),0)</f>
        <v/>
      </c>
      <c r="D238" s="33">
        <f>IFERROR(SUMPRODUCT(LARGE(IF(('GENÇ ERKEKLER'!$D$6:$D$45=A238)*('GENÇ ERKEKLER'!$E$6:$E$45="Takım"),'GENÇ ERKEKLER'!$S$6:$S$45,0),{1,2,3})),0)</f>
        <v/>
      </c>
      <c r="E238" s="33">
        <f>IFERROR(SUMPRODUCT(LARGE(IF(('GENÇ ERKEKLER'!$D$6:$D$45=A238)*('GENÇ ERKEKLER'!$E$6:$E$45="Takım"),'GENÇ ERKEKLER'!$X$6:$X$45,0),{1,2,3})),0)</f>
        <v/>
      </c>
      <c r="F238" s="33">
        <f>IFERROR(SUMPRODUCT(LARGE(IF(('GENÇ ERKEKLER'!$D$6:$D$45=A238)*('GENÇ ERKEKLER'!$E$6:$E$45="Takım"),'GENÇ ERKEKLER'!$AC$6:$AC$45,0),{1,2,3})),0)</f>
        <v/>
      </c>
      <c r="G238" s="33">
        <f>IFERROR(SUMPRODUCT(LARGE(IF(('GENÇ ERKEKLER'!$D$6:$D$45=A238)*('GENÇ ERKEKLER'!$E$6:$E$45="Takım"),'GENÇ ERKEKLER'!$AH$6:$AH$45,0),{1,2,3})),0)</f>
        <v/>
      </c>
      <c r="H238" s="36">
        <f>B238+C238+D238+E238+F238+G238</f>
        <v/>
      </c>
      <c r="I238" s="51" t="n">
        <v>0</v>
      </c>
      <c r="J238" s="36">
        <f>IF(A238="","",H238-IFERROR(I238+0,0))</f>
        <v/>
      </c>
      <c r="K238" s="37">
        <f>IF(A238="","-",RANK.EQ(J238,$J$222:$J$241,0))</f>
        <v/>
      </c>
    </row>
    <row r="239">
      <c r="A239" s="52" t="n"/>
      <c r="B239" s="53">
        <f>IFERROR(SUMPRODUCT(LARGE(IF(('GENÇ ERKEKLER'!$D$6:$D$45=A239)*('GENÇ ERKEKLER'!$E$6:$E$45="Takım"),'GENÇ ERKEKLER'!$I$6:$I$45,0),{1,2,3})),0)</f>
        <v/>
      </c>
      <c r="C239" s="53">
        <f>IFERROR(SUMPRODUCT(LARGE(IF(('GENÇ ERKEKLER'!$D$6:$D$45=A239)*('GENÇ ERKEKLER'!$E$6:$E$45="Takım"),'GENÇ ERKEKLER'!$N$6:$N$45,0),{1,2,3})),0)</f>
        <v/>
      </c>
      <c r="D239" s="53">
        <f>IFERROR(SUMPRODUCT(LARGE(IF(('GENÇ ERKEKLER'!$D$6:$D$45=A239)*('GENÇ ERKEKLER'!$E$6:$E$45="Takım"),'GENÇ ERKEKLER'!$S$6:$S$45,0),{1,2,3})),0)</f>
        <v/>
      </c>
      <c r="E239" s="53">
        <f>IFERROR(SUMPRODUCT(LARGE(IF(('GENÇ ERKEKLER'!$D$6:$D$45=A239)*('GENÇ ERKEKLER'!$E$6:$E$45="Takım"),'GENÇ ERKEKLER'!$X$6:$X$45,0),{1,2,3})),0)</f>
        <v/>
      </c>
      <c r="F239" s="53">
        <f>IFERROR(SUMPRODUCT(LARGE(IF(('GENÇ ERKEKLER'!$D$6:$D$45=A239)*('GENÇ ERKEKLER'!$E$6:$E$45="Takım"),'GENÇ ERKEKLER'!$AC$6:$AC$45,0),{1,2,3})),0)</f>
        <v/>
      </c>
      <c r="G239" s="53">
        <f>IFERROR(SUMPRODUCT(LARGE(IF(('GENÇ ERKEKLER'!$D$6:$D$45=A239)*('GENÇ ERKEKLER'!$E$6:$E$45="Takım"),'GENÇ ERKEKLER'!$AH$6:$AH$45,0),{1,2,3})),0)</f>
        <v/>
      </c>
      <c r="H239" s="36">
        <f>B239+C239+D239+E239+F239+G239</f>
        <v/>
      </c>
      <c r="I239" s="51" t="n">
        <v>0</v>
      </c>
      <c r="J239" s="36">
        <f>IF(A239="","",H239-IFERROR(I239+0,0))</f>
        <v/>
      </c>
      <c r="K239" s="37">
        <f>IF(A239="","-",RANK.EQ(J239,$J$222:$J$241,0))</f>
        <v/>
      </c>
    </row>
    <row r="240">
      <c r="A240" s="50" t="n"/>
      <c r="B240" s="33">
        <f>IFERROR(SUMPRODUCT(LARGE(IF(('GENÇ ERKEKLER'!$D$6:$D$45=A240)*('GENÇ ERKEKLER'!$E$6:$E$45="Takım"),'GENÇ ERKEKLER'!$I$6:$I$45,0),{1,2,3})),0)</f>
        <v/>
      </c>
      <c r="C240" s="33">
        <f>IFERROR(SUMPRODUCT(LARGE(IF(('GENÇ ERKEKLER'!$D$6:$D$45=A240)*('GENÇ ERKEKLER'!$E$6:$E$45="Takım"),'GENÇ ERKEKLER'!$N$6:$N$45,0),{1,2,3})),0)</f>
        <v/>
      </c>
      <c r="D240" s="33">
        <f>IFERROR(SUMPRODUCT(LARGE(IF(('GENÇ ERKEKLER'!$D$6:$D$45=A240)*('GENÇ ERKEKLER'!$E$6:$E$45="Takım"),'GENÇ ERKEKLER'!$S$6:$S$45,0),{1,2,3})),0)</f>
        <v/>
      </c>
      <c r="E240" s="33">
        <f>IFERROR(SUMPRODUCT(LARGE(IF(('GENÇ ERKEKLER'!$D$6:$D$45=A240)*('GENÇ ERKEKLER'!$E$6:$E$45="Takım"),'GENÇ ERKEKLER'!$X$6:$X$45,0),{1,2,3})),0)</f>
        <v/>
      </c>
      <c r="F240" s="33">
        <f>IFERROR(SUMPRODUCT(LARGE(IF(('GENÇ ERKEKLER'!$D$6:$D$45=A240)*('GENÇ ERKEKLER'!$E$6:$E$45="Takım"),'GENÇ ERKEKLER'!$AC$6:$AC$45,0),{1,2,3})),0)</f>
        <v/>
      </c>
      <c r="G240" s="33">
        <f>IFERROR(SUMPRODUCT(LARGE(IF(('GENÇ ERKEKLER'!$D$6:$D$45=A240)*('GENÇ ERKEKLER'!$E$6:$E$45="Takım"),'GENÇ ERKEKLER'!$AH$6:$AH$45,0),{1,2,3})),0)</f>
        <v/>
      </c>
      <c r="H240" s="36">
        <f>B240+C240+D240+E240+F240+G240</f>
        <v/>
      </c>
      <c r="I240" s="51" t="n">
        <v>0</v>
      </c>
      <c r="J240" s="36">
        <f>IF(A240="","",H240-IFERROR(I240+0,0))</f>
        <v/>
      </c>
      <c r="K240" s="37">
        <f>IF(A240="","-",RANK.EQ(J240,$J$222:$J$241,0))</f>
        <v/>
      </c>
    </row>
    <row r="241">
      <c r="A241" s="52" t="n"/>
      <c r="B241" s="53">
        <f>IFERROR(SUMPRODUCT(LARGE(IF(('GENÇ ERKEKLER'!$D$6:$D$45=A241)*('GENÇ ERKEKLER'!$E$6:$E$45="Takım"),'GENÇ ERKEKLER'!$I$6:$I$45,0),{1,2,3})),0)</f>
        <v/>
      </c>
      <c r="C241" s="53">
        <f>IFERROR(SUMPRODUCT(LARGE(IF(('GENÇ ERKEKLER'!$D$6:$D$45=A241)*('GENÇ ERKEKLER'!$E$6:$E$45="Takım"),'GENÇ ERKEKLER'!$N$6:$N$45,0),{1,2,3})),0)</f>
        <v/>
      </c>
      <c r="D241" s="53">
        <f>IFERROR(SUMPRODUCT(LARGE(IF(('GENÇ ERKEKLER'!$D$6:$D$45=A241)*('GENÇ ERKEKLER'!$E$6:$E$45="Takım"),'GENÇ ERKEKLER'!$S$6:$S$45,0),{1,2,3})),0)</f>
        <v/>
      </c>
      <c r="E241" s="53">
        <f>IFERROR(SUMPRODUCT(LARGE(IF(('GENÇ ERKEKLER'!$D$6:$D$45=A241)*('GENÇ ERKEKLER'!$E$6:$E$45="Takım"),'GENÇ ERKEKLER'!$X$6:$X$45,0),{1,2,3})),0)</f>
        <v/>
      </c>
      <c r="F241" s="53">
        <f>IFERROR(SUMPRODUCT(LARGE(IF(('GENÇ ERKEKLER'!$D$6:$D$45=A241)*('GENÇ ERKEKLER'!$E$6:$E$45="Takım"),'GENÇ ERKEKLER'!$AC$6:$AC$45,0),{1,2,3})),0)</f>
        <v/>
      </c>
      <c r="G241" s="53">
        <f>IFERROR(SUMPRODUCT(LARGE(IF(('GENÇ ERKEKLER'!$D$6:$D$45=A241)*('GENÇ ERKEKLER'!$E$6:$E$45="Takım"),'GENÇ ERKEKLER'!$AH$6:$AH$45,0),{1,2,3})),0)</f>
        <v/>
      </c>
      <c r="H241" s="36">
        <f>B241+C241+D241+E241+F241+G241</f>
        <v/>
      </c>
      <c r="I241" s="51" t="n">
        <v>0</v>
      </c>
      <c r="J241" s="36">
        <f>IF(A241="","",H241-IFERROR(I241+0,0))</f>
        <v/>
      </c>
      <c r="K241" s="37">
        <f>IF(A241="","-",RANK.EQ(J241,$J$222:$J$241,0))</f>
        <v/>
      </c>
    </row>
  </sheetData>
  <mergeCells count="12">
    <mergeCell ref="A100:H100"/>
    <mergeCell ref="A52:F52"/>
    <mergeCell ref="A124:H124"/>
    <mergeCell ref="A28:F28"/>
    <mergeCell ref="A76:F76"/>
    <mergeCell ref="A148:H148"/>
    <mergeCell ref="A196:H196"/>
    <mergeCell ref="A220:J220"/>
    <mergeCell ref="A2:H2"/>
    <mergeCell ref="A4:F4"/>
    <mergeCell ref="A1:H1"/>
    <mergeCell ref="A172:J172"/>
  </mergeCells>
  <conditionalFormatting sqref="G6:G25">
    <cfRule type="cellIs" priority="1" operator="equal" dxfId="0">
      <formula>1</formula>
    </cfRule>
    <cfRule type="cellIs" priority="2" operator="equal" dxfId="1">
      <formula>2</formula>
    </cfRule>
    <cfRule type="cellIs" priority="3" operator="equal" dxfId="2">
      <formula>3</formula>
    </cfRule>
  </conditionalFormatting>
  <conditionalFormatting sqref="G30:G49">
    <cfRule type="cellIs" priority="4" operator="equal" dxfId="0">
      <formula>1</formula>
    </cfRule>
    <cfRule type="cellIs" priority="5" operator="equal" dxfId="1">
      <formula>2</formula>
    </cfRule>
    <cfRule type="cellIs" priority="6" operator="equal" dxfId="2">
      <formula>3</formula>
    </cfRule>
  </conditionalFormatting>
  <conditionalFormatting sqref="G54:G73">
    <cfRule type="cellIs" priority="7" operator="equal" dxfId="0">
      <formula>1</formula>
    </cfRule>
    <cfRule type="cellIs" priority="8" operator="equal" dxfId="1">
      <formula>2</formula>
    </cfRule>
    <cfRule type="cellIs" priority="9" operator="equal" dxfId="2">
      <formula>3</formula>
    </cfRule>
  </conditionalFormatting>
  <conditionalFormatting sqref="G78:G97">
    <cfRule type="cellIs" priority="10" operator="equal" dxfId="0">
      <formula>1</formula>
    </cfRule>
    <cfRule type="cellIs" priority="11" operator="equal" dxfId="1">
      <formula>2</formula>
    </cfRule>
    <cfRule type="cellIs" priority="12" operator="equal" dxfId="2">
      <formula>3</formula>
    </cfRule>
  </conditionalFormatting>
  <conditionalFormatting sqref="I102:I121">
    <cfRule type="cellIs" priority="13" operator="equal" dxfId="0">
      <formula>1</formula>
    </cfRule>
    <cfRule type="cellIs" priority="14" operator="equal" dxfId="1">
      <formula>2</formula>
    </cfRule>
    <cfRule type="cellIs" priority="15" operator="equal" dxfId="2">
      <formula>3</formula>
    </cfRule>
  </conditionalFormatting>
  <conditionalFormatting sqref="I126:I145">
    <cfRule type="cellIs" priority="16" operator="equal" dxfId="0">
      <formula>1</formula>
    </cfRule>
    <cfRule type="cellIs" priority="17" operator="equal" dxfId="1">
      <formula>2</formula>
    </cfRule>
    <cfRule type="cellIs" priority="18" operator="equal" dxfId="2">
      <formula>3</formula>
    </cfRule>
  </conditionalFormatting>
  <conditionalFormatting sqref="I150:I169">
    <cfRule type="cellIs" priority="19" operator="equal" dxfId="0">
      <formula>1</formula>
    </cfRule>
    <cfRule type="cellIs" priority="20" operator="equal" dxfId="1">
      <formula>2</formula>
    </cfRule>
    <cfRule type="cellIs" priority="21" operator="equal" dxfId="2">
      <formula>3</formula>
    </cfRule>
  </conditionalFormatting>
  <conditionalFormatting sqref="K174:K193">
    <cfRule type="cellIs" priority="22" operator="equal" dxfId="0">
      <formula>1</formula>
    </cfRule>
    <cfRule type="cellIs" priority="23" operator="equal" dxfId="1">
      <formula>2</formula>
    </cfRule>
    <cfRule type="cellIs" priority="24" operator="equal" dxfId="2">
      <formula>3</formula>
    </cfRule>
  </conditionalFormatting>
  <conditionalFormatting sqref="I198:I217">
    <cfRule type="cellIs" priority="25" operator="equal" dxfId="0">
      <formula>1</formula>
    </cfRule>
    <cfRule type="cellIs" priority="26" operator="equal" dxfId="1">
      <formula>2</formula>
    </cfRule>
    <cfRule type="cellIs" priority="27" operator="equal" dxfId="2">
      <formula>3</formula>
    </cfRule>
  </conditionalFormatting>
  <conditionalFormatting sqref="K222:K241">
    <cfRule type="cellIs" priority="28" operator="equal" dxfId="0">
      <formula>1</formula>
    </cfRule>
    <cfRule type="cellIs" priority="29" operator="equal" dxfId="1">
      <formula>2</formula>
    </cfRule>
    <cfRule type="cellIs" priority="30" operator="equal" dxfId="2">
      <formula>3</formula>
    </cfRule>
  </conditionalFormatting>
  <pageMargins left="0.75" right="0.75" top="1" bottom="1" header="0.5" footer="0.5"/>
  <pageSetup orientation="landscape" fitToWidth="1"/>
</worksheet>
</file>

<file path=xl/worksheets/sheet14.xml><?xml version="1.0" encoding="utf-8"?>
<worksheet xmlns="http://schemas.openxmlformats.org/spreadsheetml/2006/main">
  <sheetPr>
    <outlinePr summaryBelow="1" summaryRight="1"/>
    <pageSetUpPr fitToPage="1"/>
  </sheetPr>
  <dimension ref="A1:J43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14" customWidth="1" min="3" max="3"/>
    <col width="26" customWidth="1" min="4" max="4"/>
    <col width="7" customWidth="1" min="5" max="5"/>
    <col width="7" customWidth="1" min="6" max="6"/>
    <col width="7" customWidth="1" min="7" max="7"/>
    <col width="9" customWidth="1" min="8" max="8"/>
    <col width="8" customWidth="1" min="9" max="9"/>
    <col width="9" customWidth="1" min="10" max="10"/>
  </cols>
  <sheetData>
    <row r="1" ht="34" customHeight="1">
      <c r="A1" s="19" t="inlineStr">
        <is>
          <t>ALET FİNALLERİ  —  AYRICALIKLI TUR PUANLAMASI  (Top-8)</t>
        </is>
      </c>
    </row>
    <row r="2" ht="16" customHeight="1">
      <c r="A2" s="55" t="inlineStr">
        <is>
          <t>Eleme sırasına göre her alette top-8 sporcu elle girilir. Final turu için D/E/ND puanları girilir → Final ve Sıralama otomatik hesaplanır.</t>
        </is>
      </c>
    </row>
    <row r="4" ht="26" customHeight="1">
      <c r="A4" s="56" t="inlineStr">
        <is>
          <t>ATLAMA (VT)  —  MİNİK A KIZLAR</t>
        </is>
      </c>
    </row>
    <row r="5" ht="26" customHeight="1">
      <c r="A5" s="27" t="inlineStr">
        <is>
          <t>Eleme
Sırası</t>
        </is>
      </c>
      <c r="B5" s="27" t="inlineStr">
        <is>
          <t>Ad</t>
        </is>
      </c>
      <c r="C5" s="27" t="inlineStr">
        <is>
          <t>Soyad</t>
        </is>
      </c>
      <c r="D5" s="27" t="inlineStr">
        <is>
          <t>Okul / Kulüp</t>
        </is>
      </c>
      <c r="E5" s="27" t="inlineStr">
        <is>
          <t>D</t>
        </is>
      </c>
      <c r="F5" s="27" t="inlineStr">
        <is>
          <t>E</t>
        </is>
      </c>
      <c r="G5" s="27" t="inlineStr">
        <is>
          <t>ND</t>
        </is>
      </c>
      <c r="H5" s="27" t="inlineStr">
        <is>
          <t>FİNAL</t>
        </is>
      </c>
      <c r="I5" s="27" t="inlineStr">
        <is>
          <t>Dur</t>
        </is>
      </c>
      <c r="J5" s="27" t="inlineStr">
        <is>
          <t>FİN.SIRA</t>
        </is>
      </c>
    </row>
    <row r="6" ht="18" customHeight="1">
      <c r="A6" s="29" t="n">
        <v>1</v>
      </c>
      <c r="B6" s="30" t="n"/>
      <c r="C6" s="30" t="n"/>
      <c r="D6" s="31" t="n"/>
      <c r="E6" s="33" t="n"/>
      <c r="F6" s="33" t="n"/>
      <c r="G6" s="33" t="n"/>
      <c r="H6" s="34">
        <f>IF(OR(I6="G",I6="D"),0,IF(AND(E6="",F6=""),0,MAX(0,IFERROR(E6+0,0)+IFERROR(F6+0,0)-IFERROR(G6+0,0))))</f>
        <v/>
      </c>
      <c r="I6" s="35" t="n"/>
      <c r="J6" s="37">
        <f>IF(OR(B6="",H6=0),"-",RANK.EQ(H6,$H$6:$H$13,0))</f>
        <v/>
      </c>
    </row>
    <row r="7" ht="18" customHeight="1">
      <c r="A7" s="57" t="n">
        <v>2</v>
      </c>
      <c r="B7" s="58" t="n"/>
      <c r="C7" s="58" t="n"/>
      <c r="D7" s="59" t="n"/>
      <c r="E7" s="60" t="n"/>
      <c r="F7" s="60" t="n"/>
      <c r="G7" s="60" t="n"/>
      <c r="H7" s="34">
        <f>IF(OR(I7="G",I7="D"),0,IF(AND(E7="",F7=""),0,MAX(0,IFERROR(E7+0,0)+IFERROR(F7+0,0)-IFERROR(G7+0,0))))</f>
        <v/>
      </c>
      <c r="I7" s="61" t="n"/>
      <c r="J7" s="37">
        <f>IF(OR(B7="",H7=0),"-",RANK.EQ(H7,$H$6:$H$13,0))</f>
        <v/>
      </c>
    </row>
    <row r="8" ht="18" customHeight="1">
      <c r="A8" s="29" t="n">
        <v>3</v>
      </c>
      <c r="B8" s="30" t="n"/>
      <c r="C8" s="30" t="n"/>
      <c r="D8" s="31" t="n"/>
      <c r="E8" s="33" t="n"/>
      <c r="F8" s="33" t="n"/>
      <c r="G8" s="33" t="n"/>
      <c r="H8" s="34">
        <f>IF(OR(I8="G",I8="D"),0,IF(AND(E8="",F8=""),0,MAX(0,IFERROR(E8+0,0)+IFERROR(F8+0,0)-IFERROR(G8+0,0))))</f>
        <v/>
      </c>
      <c r="I8" s="35" t="n"/>
      <c r="J8" s="37">
        <f>IF(OR(B8="",H8=0),"-",RANK.EQ(H8,$H$6:$H$13,0))</f>
        <v/>
      </c>
    </row>
    <row r="9" ht="18" customHeight="1">
      <c r="A9" s="57" t="n">
        <v>4</v>
      </c>
      <c r="B9" s="58" t="n"/>
      <c r="C9" s="58" t="n"/>
      <c r="D9" s="59" t="n"/>
      <c r="E9" s="60" t="n"/>
      <c r="F9" s="60" t="n"/>
      <c r="G9" s="60" t="n"/>
      <c r="H9" s="34">
        <f>IF(OR(I9="G",I9="D"),0,IF(AND(E9="",F9=""),0,MAX(0,IFERROR(E9+0,0)+IFERROR(F9+0,0)-IFERROR(G9+0,0))))</f>
        <v/>
      </c>
      <c r="I9" s="61" t="n"/>
      <c r="J9" s="37">
        <f>IF(OR(B9="",H9=0),"-",RANK.EQ(H9,$H$6:$H$13,0))</f>
        <v/>
      </c>
    </row>
    <row r="10" ht="18" customHeight="1">
      <c r="A10" s="29" t="n">
        <v>5</v>
      </c>
      <c r="B10" s="30" t="n"/>
      <c r="C10" s="30" t="n"/>
      <c r="D10" s="31" t="n"/>
      <c r="E10" s="33" t="n"/>
      <c r="F10" s="33" t="n"/>
      <c r="G10" s="33" t="n"/>
      <c r="H10" s="34">
        <f>IF(OR(I10="G",I10="D"),0,IF(AND(E10="",F10=""),0,MAX(0,IFERROR(E10+0,0)+IFERROR(F10+0,0)-IFERROR(G10+0,0))))</f>
        <v/>
      </c>
      <c r="I10" s="35" t="n"/>
      <c r="J10" s="37">
        <f>IF(OR(B10="",H10=0),"-",RANK.EQ(H10,$H$6:$H$13,0))</f>
        <v/>
      </c>
    </row>
    <row r="11" ht="18" customHeight="1">
      <c r="A11" s="57" t="n">
        <v>6</v>
      </c>
      <c r="B11" s="58" t="n"/>
      <c r="C11" s="58" t="n"/>
      <c r="D11" s="59" t="n"/>
      <c r="E11" s="60" t="n"/>
      <c r="F11" s="60" t="n"/>
      <c r="G11" s="60" t="n"/>
      <c r="H11" s="34">
        <f>IF(OR(I11="G",I11="D"),0,IF(AND(E11="",F11=""),0,MAX(0,IFERROR(E11+0,0)+IFERROR(F11+0,0)-IFERROR(G11+0,0))))</f>
        <v/>
      </c>
      <c r="I11" s="61" t="n"/>
      <c r="J11" s="37">
        <f>IF(OR(B11="",H11=0),"-",RANK.EQ(H11,$H$6:$H$13,0))</f>
        <v/>
      </c>
    </row>
    <row r="12" ht="18" customHeight="1">
      <c r="A12" s="29" t="n">
        <v>7</v>
      </c>
      <c r="B12" s="30" t="n"/>
      <c r="C12" s="30" t="n"/>
      <c r="D12" s="31" t="n"/>
      <c r="E12" s="33" t="n"/>
      <c r="F12" s="33" t="n"/>
      <c r="G12" s="33" t="n"/>
      <c r="H12" s="34">
        <f>IF(OR(I12="G",I12="D"),0,IF(AND(E12="",F12=""),0,MAX(0,IFERROR(E12+0,0)+IFERROR(F12+0,0)-IFERROR(G12+0,0))))</f>
        <v/>
      </c>
      <c r="I12" s="35" t="n"/>
      <c r="J12" s="37">
        <f>IF(OR(B12="",H12=0),"-",RANK.EQ(H12,$H$6:$H$13,0))</f>
        <v/>
      </c>
    </row>
    <row r="13" ht="18" customHeight="1">
      <c r="A13" s="57" t="n">
        <v>8</v>
      </c>
      <c r="B13" s="58" t="n"/>
      <c r="C13" s="58" t="n"/>
      <c r="D13" s="59" t="n"/>
      <c r="E13" s="60" t="n"/>
      <c r="F13" s="60" t="n"/>
      <c r="G13" s="60" t="n"/>
      <c r="H13" s="34">
        <f>IF(OR(I13="G",I13="D"),0,IF(AND(E13="",F13=""),0,MAX(0,IFERROR(E13+0,0)+IFERROR(F13+0,0)-IFERROR(G13+0,0))))</f>
        <v/>
      </c>
      <c r="I13" s="61" t="n"/>
      <c r="J13" s="37">
        <f>IF(OR(B13="",H13=0),"-",RANK.EQ(H13,$H$6:$H$13,0))</f>
        <v/>
      </c>
    </row>
    <row r="16" ht="26" customHeight="1">
      <c r="A16" s="56" t="inlineStr">
        <is>
          <t>SERBEST (FX)  —  MİNİK A KIZLAR</t>
        </is>
      </c>
    </row>
    <row r="17" ht="26" customHeight="1">
      <c r="A17" s="27" t="inlineStr">
        <is>
          <t>Eleme
Sırası</t>
        </is>
      </c>
      <c r="B17" s="27" t="inlineStr">
        <is>
          <t>Ad</t>
        </is>
      </c>
      <c r="C17" s="27" t="inlineStr">
        <is>
          <t>Soyad</t>
        </is>
      </c>
      <c r="D17" s="27" t="inlineStr">
        <is>
          <t>Okul / Kulüp</t>
        </is>
      </c>
      <c r="E17" s="27" t="inlineStr">
        <is>
          <t>D</t>
        </is>
      </c>
      <c r="F17" s="27" t="inlineStr">
        <is>
          <t>E</t>
        </is>
      </c>
      <c r="G17" s="27" t="inlineStr">
        <is>
          <t>ND</t>
        </is>
      </c>
      <c r="H17" s="27" t="inlineStr">
        <is>
          <t>FİNAL</t>
        </is>
      </c>
      <c r="I17" s="27" t="inlineStr">
        <is>
          <t>Dur</t>
        </is>
      </c>
      <c r="J17" s="27" t="inlineStr">
        <is>
          <t>FİN.SIRA</t>
        </is>
      </c>
    </row>
    <row r="18" ht="18" customHeight="1">
      <c r="A18" s="29" t="n">
        <v>1</v>
      </c>
      <c r="B18" s="30" t="n"/>
      <c r="C18" s="30" t="n"/>
      <c r="D18" s="31" t="n"/>
      <c r="E18" s="33" t="n"/>
      <c r="F18" s="33" t="n"/>
      <c r="G18" s="33" t="n"/>
      <c r="H18" s="34">
        <f>IF(OR(I18="G",I18="D"),0,IF(AND(E18="",F18=""),0,MAX(0,IFERROR(E18+0,0)+IFERROR(F18+0,0)-IFERROR(G18+0,0))))</f>
        <v/>
      </c>
      <c r="I18" s="35" t="n"/>
      <c r="J18" s="37">
        <f>IF(OR(B18="",H18=0),"-",RANK.EQ(H18,$H$18:$H$25,0))</f>
        <v/>
      </c>
    </row>
    <row r="19" ht="18" customHeight="1">
      <c r="A19" s="57" t="n">
        <v>2</v>
      </c>
      <c r="B19" s="58" t="n"/>
      <c r="C19" s="58" t="n"/>
      <c r="D19" s="59" t="n"/>
      <c r="E19" s="60" t="n"/>
      <c r="F19" s="60" t="n"/>
      <c r="G19" s="60" t="n"/>
      <c r="H19" s="34">
        <f>IF(OR(I19="G",I19="D"),0,IF(AND(E19="",F19=""),0,MAX(0,IFERROR(E19+0,0)+IFERROR(F19+0,0)-IFERROR(G19+0,0))))</f>
        <v/>
      </c>
      <c r="I19" s="61" t="n"/>
      <c r="J19" s="37">
        <f>IF(OR(B19="",H19=0),"-",RANK.EQ(H19,$H$18:$H$25,0))</f>
        <v/>
      </c>
    </row>
    <row r="20" ht="18" customHeight="1">
      <c r="A20" s="29" t="n">
        <v>3</v>
      </c>
      <c r="B20" s="30" t="n"/>
      <c r="C20" s="30" t="n"/>
      <c r="D20" s="31" t="n"/>
      <c r="E20" s="33" t="n"/>
      <c r="F20" s="33" t="n"/>
      <c r="G20" s="33" t="n"/>
      <c r="H20" s="34">
        <f>IF(OR(I20="G",I20="D"),0,IF(AND(E20="",F20=""),0,MAX(0,IFERROR(E20+0,0)+IFERROR(F20+0,0)-IFERROR(G20+0,0))))</f>
        <v/>
      </c>
      <c r="I20" s="35" t="n"/>
      <c r="J20" s="37">
        <f>IF(OR(B20="",H20=0),"-",RANK.EQ(H20,$H$18:$H$25,0))</f>
        <v/>
      </c>
    </row>
    <row r="21" ht="18" customHeight="1">
      <c r="A21" s="57" t="n">
        <v>4</v>
      </c>
      <c r="B21" s="58" t="n"/>
      <c r="C21" s="58" t="n"/>
      <c r="D21" s="59" t="n"/>
      <c r="E21" s="60" t="n"/>
      <c r="F21" s="60" t="n"/>
      <c r="G21" s="60" t="n"/>
      <c r="H21" s="34">
        <f>IF(OR(I21="G",I21="D"),0,IF(AND(E21="",F21=""),0,MAX(0,IFERROR(E21+0,0)+IFERROR(F21+0,0)-IFERROR(G21+0,0))))</f>
        <v/>
      </c>
      <c r="I21" s="61" t="n"/>
      <c r="J21" s="37">
        <f>IF(OR(B21="",H21=0),"-",RANK.EQ(H21,$H$18:$H$25,0))</f>
        <v/>
      </c>
    </row>
    <row r="22" ht="18" customHeight="1">
      <c r="A22" s="29" t="n">
        <v>5</v>
      </c>
      <c r="B22" s="30" t="n"/>
      <c r="C22" s="30" t="n"/>
      <c r="D22" s="31" t="n"/>
      <c r="E22" s="33" t="n"/>
      <c r="F22" s="33" t="n"/>
      <c r="G22" s="33" t="n"/>
      <c r="H22" s="34">
        <f>IF(OR(I22="G",I22="D"),0,IF(AND(E22="",F22=""),0,MAX(0,IFERROR(E22+0,0)+IFERROR(F22+0,0)-IFERROR(G22+0,0))))</f>
        <v/>
      </c>
      <c r="I22" s="35" t="n"/>
      <c r="J22" s="37">
        <f>IF(OR(B22="",H22=0),"-",RANK.EQ(H22,$H$18:$H$25,0))</f>
        <v/>
      </c>
    </row>
    <row r="23" ht="18" customHeight="1">
      <c r="A23" s="57" t="n">
        <v>6</v>
      </c>
      <c r="B23" s="58" t="n"/>
      <c r="C23" s="58" t="n"/>
      <c r="D23" s="59" t="n"/>
      <c r="E23" s="60" t="n"/>
      <c r="F23" s="60" t="n"/>
      <c r="G23" s="60" t="n"/>
      <c r="H23" s="34">
        <f>IF(OR(I23="G",I23="D"),0,IF(AND(E23="",F23=""),0,MAX(0,IFERROR(E23+0,0)+IFERROR(F23+0,0)-IFERROR(G23+0,0))))</f>
        <v/>
      </c>
      <c r="I23" s="61" t="n"/>
      <c r="J23" s="37">
        <f>IF(OR(B23="",H23=0),"-",RANK.EQ(H23,$H$18:$H$25,0))</f>
        <v/>
      </c>
    </row>
    <row r="24" ht="18" customHeight="1">
      <c r="A24" s="29" t="n">
        <v>7</v>
      </c>
      <c r="B24" s="30" t="n"/>
      <c r="C24" s="30" t="n"/>
      <c r="D24" s="31" t="n"/>
      <c r="E24" s="33" t="n"/>
      <c r="F24" s="33" t="n"/>
      <c r="G24" s="33" t="n"/>
      <c r="H24" s="34">
        <f>IF(OR(I24="G",I24="D"),0,IF(AND(E24="",F24=""),0,MAX(0,IFERROR(E24+0,0)+IFERROR(F24+0,0)-IFERROR(G24+0,0))))</f>
        <v/>
      </c>
      <c r="I24" s="35" t="n"/>
      <c r="J24" s="37">
        <f>IF(OR(B24="",H24=0),"-",RANK.EQ(H24,$H$18:$H$25,0))</f>
        <v/>
      </c>
    </row>
    <row r="25" ht="18" customHeight="1">
      <c r="A25" s="57" t="n">
        <v>8</v>
      </c>
      <c r="B25" s="58" t="n"/>
      <c r="C25" s="58" t="n"/>
      <c r="D25" s="59" t="n"/>
      <c r="E25" s="60" t="n"/>
      <c r="F25" s="60" t="n"/>
      <c r="G25" s="60" t="n"/>
      <c r="H25" s="34">
        <f>IF(OR(I25="G",I25="D"),0,IF(AND(E25="",F25=""),0,MAX(0,IFERROR(E25+0,0)+IFERROR(F25+0,0)-IFERROR(G25+0,0))))</f>
        <v/>
      </c>
      <c r="I25" s="61" t="n"/>
      <c r="J25" s="37">
        <f>IF(OR(B25="",H25=0),"-",RANK.EQ(H25,$H$18:$H$25,0))</f>
        <v/>
      </c>
    </row>
    <row r="28" ht="26" customHeight="1">
      <c r="A28" s="56" t="inlineStr">
        <is>
          <t>YER (FX)  —  MİNİK A ERKEKLER</t>
        </is>
      </c>
    </row>
    <row r="29" ht="26" customHeight="1">
      <c r="A29" s="27" t="inlineStr">
        <is>
          <t>Eleme
Sırası</t>
        </is>
      </c>
      <c r="B29" s="27" t="inlineStr">
        <is>
          <t>Ad</t>
        </is>
      </c>
      <c r="C29" s="27" t="inlineStr">
        <is>
          <t>Soyad</t>
        </is>
      </c>
      <c r="D29" s="27" t="inlineStr">
        <is>
          <t>Okul / Kulüp</t>
        </is>
      </c>
      <c r="E29" s="27" t="inlineStr">
        <is>
          <t>D</t>
        </is>
      </c>
      <c r="F29" s="27" t="inlineStr">
        <is>
          <t>E</t>
        </is>
      </c>
      <c r="G29" s="27" t="inlineStr">
        <is>
          <t>ND</t>
        </is>
      </c>
      <c r="H29" s="27" t="inlineStr">
        <is>
          <t>FİNAL</t>
        </is>
      </c>
      <c r="I29" s="27" t="inlineStr">
        <is>
          <t>Dur</t>
        </is>
      </c>
      <c r="J29" s="27" t="inlineStr">
        <is>
          <t>FİN.SIRA</t>
        </is>
      </c>
    </row>
    <row r="30" ht="18" customHeight="1">
      <c r="A30" s="29" t="n">
        <v>1</v>
      </c>
      <c r="B30" s="30" t="n"/>
      <c r="C30" s="30" t="n"/>
      <c r="D30" s="31" t="n"/>
      <c r="E30" s="33" t="n"/>
      <c r="F30" s="33" t="n"/>
      <c r="G30" s="33" t="n"/>
      <c r="H30" s="34">
        <f>IF(OR(I30="G",I30="D"),0,IF(AND(E30="",F30=""),0,MAX(0,IFERROR(E30+0,0)+IFERROR(F30+0,0)-IFERROR(G30+0,0))))</f>
        <v/>
      </c>
      <c r="I30" s="35" t="n"/>
      <c r="J30" s="37">
        <f>IF(OR(B30="",H30=0),"-",RANK.EQ(H30,$H$30:$H$37,0))</f>
        <v/>
      </c>
    </row>
    <row r="31" ht="18" customHeight="1">
      <c r="A31" s="57" t="n">
        <v>2</v>
      </c>
      <c r="B31" s="58" t="n"/>
      <c r="C31" s="58" t="n"/>
      <c r="D31" s="59" t="n"/>
      <c r="E31" s="60" t="n"/>
      <c r="F31" s="60" t="n"/>
      <c r="G31" s="60" t="n"/>
      <c r="H31" s="34">
        <f>IF(OR(I31="G",I31="D"),0,IF(AND(E31="",F31=""),0,MAX(0,IFERROR(E31+0,0)+IFERROR(F31+0,0)-IFERROR(G31+0,0))))</f>
        <v/>
      </c>
      <c r="I31" s="61" t="n"/>
      <c r="J31" s="37">
        <f>IF(OR(B31="",H31=0),"-",RANK.EQ(H31,$H$30:$H$37,0))</f>
        <v/>
      </c>
    </row>
    <row r="32" ht="18" customHeight="1">
      <c r="A32" s="29" t="n">
        <v>3</v>
      </c>
      <c r="B32" s="30" t="n"/>
      <c r="C32" s="30" t="n"/>
      <c r="D32" s="31" t="n"/>
      <c r="E32" s="33" t="n"/>
      <c r="F32" s="33" t="n"/>
      <c r="G32" s="33" t="n"/>
      <c r="H32" s="34">
        <f>IF(OR(I32="G",I32="D"),0,IF(AND(E32="",F32=""),0,MAX(0,IFERROR(E32+0,0)+IFERROR(F32+0,0)-IFERROR(G32+0,0))))</f>
        <v/>
      </c>
      <c r="I32" s="35" t="n"/>
      <c r="J32" s="37">
        <f>IF(OR(B32="",H32=0),"-",RANK.EQ(H32,$H$30:$H$37,0))</f>
        <v/>
      </c>
    </row>
    <row r="33" ht="18" customHeight="1">
      <c r="A33" s="57" t="n">
        <v>4</v>
      </c>
      <c r="B33" s="58" t="n"/>
      <c r="C33" s="58" t="n"/>
      <c r="D33" s="59" t="n"/>
      <c r="E33" s="60" t="n"/>
      <c r="F33" s="60" t="n"/>
      <c r="G33" s="60" t="n"/>
      <c r="H33" s="34">
        <f>IF(OR(I33="G",I33="D"),0,IF(AND(E33="",F33=""),0,MAX(0,IFERROR(E33+0,0)+IFERROR(F33+0,0)-IFERROR(G33+0,0))))</f>
        <v/>
      </c>
      <c r="I33" s="61" t="n"/>
      <c r="J33" s="37">
        <f>IF(OR(B33="",H33=0),"-",RANK.EQ(H33,$H$30:$H$37,0))</f>
        <v/>
      </c>
    </row>
    <row r="34" ht="18" customHeight="1">
      <c r="A34" s="29" t="n">
        <v>5</v>
      </c>
      <c r="B34" s="30" t="n"/>
      <c r="C34" s="30" t="n"/>
      <c r="D34" s="31" t="n"/>
      <c r="E34" s="33" t="n"/>
      <c r="F34" s="33" t="n"/>
      <c r="G34" s="33" t="n"/>
      <c r="H34" s="34">
        <f>IF(OR(I34="G",I34="D"),0,IF(AND(E34="",F34=""),0,MAX(0,IFERROR(E34+0,0)+IFERROR(F34+0,0)-IFERROR(G34+0,0))))</f>
        <v/>
      </c>
      <c r="I34" s="35" t="n"/>
      <c r="J34" s="37">
        <f>IF(OR(B34="",H34=0),"-",RANK.EQ(H34,$H$30:$H$37,0))</f>
        <v/>
      </c>
    </row>
    <row r="35" ht="18" customHeight="1">
      <c r="A35" s="57" t="n">
        <v>6</v>
      </c>
      <c r="B35" s="58" t="n"/>
      <c r="C35" s="58" t="n"/>
      <c r="D35" s="59" t="n"/>
      <c r="E35" s="60" t="n"/>
      <c r="F35" s="60" t="n"/>
      <c r="G35" s="60" t="n"/>
      <c r="H35" s="34">
        <f>IF(OR(I35="G",I35="D"),0,IF(AND(E35="",F35=""),0,MAX(0,IFERROR(E35+0,0)+IFERROR(F35+0,0)-IFERROR(G35+0,0))))</f>
        <v/>
      </c>
      <c r="I35" s="61" t="n"/>
      <c r="J35" s="37">
        <f>IF(OR(B35="",H35=0),"-",RANK.EQ(H35,$H$30:$H$37,0))</f>
        <v/>
      </c>
    </row>
    <row r="36" ht="18" customHeight="1">
      <c r="A36" s="29" t="n">
        <v>7</v>
      </c>
      <c r="B36" s="30" t="n"/>
      <c r="C36" s="30" t="n"/>
      <c r="D36" s="31" t="n"/>
      <c r="E36" s="33" t="n"/>
      <c r="F36" s="33" t="n"/>
      <c r="G36" s="33" t="n"/>
      <c r="H36" s="34">
        <f>IF(OR(I36="G",I36="D"),0,IF(AND(E36="",F36=""),0,MAX(0,IFERROR(E36+0,0)+IFERROR(F36+0,0)-IFERROR(G36+0,0))))</f>
        <v/>
      </c>
      <c r="I36" s="35" t="n"/>
      <c r="J36" s="37">
        <f>IF(OR(B36="",H36=0),"-",RANK.EQ(H36,$H$30:$H$37,0))</f>
        <v/>
      </c>
    </row>
    <row r="37" ht="18" customHeight="1">
      <c r="A37" s="57" t="n">
        <v>8</v>
      </c>
      <c r="B37" s="58" t="n"/>
      <c r="C37" s="58" t="n"/>
      <c r="D37" s="59" t="n"/>
      <c r="E37" s="60" t="n"/>
      <c r="F37" s="60" t="n"/>
      <c r="G37" s="60" t="n"/>
      <c r="H37" s="34">
        <f>IF(OR(I37="G",I37="D"),0,IF(AND(E37="",F37=""),0,MAX(0,IFERROR(E37+0,0)+IFERROR(F37+0,0)-IFERROR(G37+0,0))))</f>
        <v/>
      </c>
      <c r="I37" s="61" t="n"/>
      <c r="J37" s="37">
        <f>IF(OR(B37="",H37=0),"-",RANK.EQ(H37,$H$30:$H$37,0))</f>
        <v/>
      </c>
    </row>
    <row r="40" ht="26" customHeight="1">
      <c r="A40" s="56" t="inlineStr">
        <is>
          <t>ATLAMA (VT)  —  MİNİK A ERKEKLER</t>
        </is>
      </c>
    </row>
    <row r="41" ht="26" customHeight="1">
      <c r="A41" s="27" t="inlineStr">
        <is>
          <t>Eleme
Sırası</t>
        </is>
      </c>
      <c r="B41" s="27" t="inlineStr">
        <is>
          <t>Ad</t>
        </is>
      </c>
      <c r="C41" s="27" t="inlineStr">
        <is>
          <t>Soyad</t>
        </is>
      </c>
      <c r="D41" s="27" t="inlineStr">
        <is>
          <t>Okul / Kulüp</t>
        </is>
      </c>
      <c r="E41" s="27" t="inlineStr">
        <is>
          <t>D</t>
        </is>
      </c>
      <c r="F41" s="27" t="inlineStr">
        <is>
          <t>E</t>
        </is>
      </c>
      <c r="G41" s="27" t="inlineStr">
        <is>
          <t>ND</t>
        </is>
      </c>
      <c r="H41" s="27" t="inlineStr">
        <is>
          <t>FİNAL</t>
        </is>
      </c>
      <c r="I41" s="27" t="inlineStr">
        <is>
          <t>Dur</t>
        </is>
      </c>
      <c r="J41" s="27" t="inlineStr">
        <is>
          <t>FİN.SIRA</t>
        </is>
      </c>
    </row>
    <row r="42" ht="18" customHeight="1">
      <c r="A42" s="29" t="n">
        <v>1</v>
      </c>
      <c r="B42" s="30" t="n"/>
      <c r="C42" s="30" t="n"/>
      <c r="D42" s="31" t="n"/>
      <c r="E42" s="33" t="n"/>
      <c r="F42" s="33" t="n"/>
      <c r="G42" s="33" t="n"/>
      <c r="H42" s="34">
        <f>IF(OR(I42="G",I42="D"),0,IF(AND(E42="",F42=""),0,MAX(0,IFERROR(E42+0,0)+IFERROR(F42+0,0)-IFERROR(G42+0,0))))</f>
        <v/>
      </c>
      <c r="I42" s="35" t="n"/>
      <c r="J42" s="37">
        <f>IF(OR(B42="",H42=0),"-",RANK.EQ(H42,$H$42:$H$49,0))</f>
        <v/>
      </c>
    </row>
    <row r="43" ht="18" customHeight="1">
      <c r="A43" s="57" t="n">
        <v>2</v>
      </c>
      <c r="B43" s="58" t="n"/>
      <c r="C43" s="58" t="n"/>
      <c r="D43" s="59" t="n"/>
      <c r="E43" s="60" t="n"/>
      <c r="F43" s="60" t="n"/>
      <c r="G43" s="60" t="n"/>
      <c r="H43" s="34">
        <f>IF(OR(I43="G",I43="D"),0,IF(AND(E43="",F43=""),0,MAX(0,IFERROR(E43+0,0)+IFERROR(F43+0,0)-IFERROR(G43+0,0))))</f>
        <v/>
      </c>
      <c r="I43" s="61" t="n"/>
      <c r="J43" s="37">
        <f>IF(OR(B43="",H43=0),"-",RANK.EQ(H43,$H$42:$H$49,0))</f>
        <v/>
      </c>
    </row>
    <row r="44" ht="18" customHeight="1">
      <c r="A44" s="29" t="n">
        <v>3</v>
      </c>
      <c r="B44" s="30" t="n"/>
      <c r="C44" s="30" t="n"/>
      <c r="D44" s="31" t="n"/>
      <c r="E44" s="33" t="n"/>
      <c r="F44" s="33" t="n"/>
      <c r="G44" s="33" t="n"/>
      <c r="H44" s="34">
        <f>IF(OR(I44="G",I44="D"),0,IF(AND(E44="",F44=""),0,MAX(0,IFERROR(E44+0,0)+IFERROR(F44+0,0)-IFERROR(G44+0,0))))</f>
        <v/>
      </c>
      <c r="I44" s="35" t="n"/>
      <c r="J44" s="37">
        <f>IF(OR(B44="",H44=0),"-",RANK.EQ(H44,$H$42:$H$49,0))</f>
        <v/>
      </c>
    </row>
    <row r="45" ht="18" customHeight="1">
      <c r="A45" s="57" t="n">
        <v>4</v>
      </c>
      <c r="B45" s="58" t="n"/>
      <c r="C45" s="58" t="n"/>
      <c r="D45" s="59" t="n"/>
      <c r="E45" s="60" t="n"/>
      <c r="F45" s="60" t="n"/>
      <c r="G45" s="60" t="n"/>
      <c r="H45" s="34">
        <f>IF(OR(I45="G",I45="D"),0,IF(AND(E45="",F45=""),0,MAX(0,IFERROR(E45+0,0)+IFERROR(F45+0,0)-IFERROR(G45+0,0))))</f>
        <v/>
      </c>
      <c r="I45" s="61" t="n"/>
      <c r="J45" s="37">
        <f>IF(OR(B45="",H45=0),"-",RANK.EQ(H45,$H$42:$H$49,0))</f>
        <v/>
      </c>
    </row>
    <row r="46" ht="18" customHeight="1">
      <c r="A46" s="29" t="n">
        <v>5</v>
      </c>
      <c r="B46" s="30" t="n"/>
      <c r="C46" s="30" t="n"/>
      <c r="D46" s="31" t="n"/>
      <c r="E46" s="33" t="n"/>
      <c r="F46" s="33" t="n"/>
      <c r="G46" s="33" t="n"/>
      <c r="H46" s="34">
        <f>IF(OR(I46="G",I46="D"),0,IF(AND(E46="",F46=""),0,MAX(0,IFERROR(E46+0,0)+IFERROR(F46+0,0)-IFERROR(G46+0,0))))</f>
        <v/>
      </c>
      <c r="I46" s="35" t="n"/>
      <c r="J46" s="37">
        <f>IF(OR(B46="",H46=0),"-",RANK.EQ(H46,$H$42:$H$49,0))</f>
        <v/>
      </c>
    </row>
    <row r="47" ht="18" customHeight="1">
      <c r="A47" s="57" t="n">
        <v>6</v>
      </c>
      <c r="B47" s="58" t="n"/>
      <c r="C47" s="58" t="n"/>
      <c r="D47" s="59" t="n"/>
      <c r="E47" s="60" t="n"/>
      <c r="F47" s="60" t="n"/>
      <c r="G47" s="60" t="n"/>
      <c r="H47" s="34">
        <f>IF(OR(I47="G",I47="D"),0,IF(AND(E47="",F47=""),0,MAX(0,IFERROR(E47+0,0)+IFERROR(F47+0,0)-IFERROR(G47+0,0))))</f>
        <v/>
      </c>
      <c r="I47" s="61" t="n"/>
      <c r="J47" s="37">
        <f>IF(OR(B47="",H47=0),"-",RANK.EQ(H47,$H$42:$H$49,0))</f>
        <v/>
      </c>
    </row>
    <row r="48" ht="18" customHeight="1">
      <c r="A48" s="29" t="n">
        <v>7</v>
      </c>
      <c r="B48" s="30" t="n"/>
      <c r="C48" s="30" t="n"/>
      <c r="D48" s="31" t="n"/>
      <c r="E48" s="33" t="n"/>
      <c r="F48" s="33" t="n"/>
      <c r="G48" s="33" t="n"/>
      <c r="H48" s="34">
        <f>IF(OR(I48="G",I48="D"),0,IF(AND(E48="",F48=""),0,MAX(0,IFERROR(E48+0,0)+IFERROR(F48+0,0)-IFERROR(G48+0,0))))</f>
        <v/>
      </c>
      <c r="I48" s="35" t="n"/>
      <c r="J48" s="37">
        <f>IF(OR(B48="",H48=0),"-",RANK.EQ(H48,$H$42:$H$49,0))</f>
        <v/>
      </c>
    </row>
    <row r="49" ht="18" customHeight="1">
      <c r="A49" s="57" t="n">
        <v>8</v>
      </c>
      <c r="B49" s="58" t="n"/>
      <c r="C49" s="58" t="n"/>
      <c r="D49" s="59" t="n"/>
      <c r="E49" s="60" t="n"/>
      <c r="F49" s="60" t="n"/>
      <c r="G49" s="60" t="n"/>
      <c r="H49" s="34">
        <f>IF(OR(I49="G",I49="D"),0,IF(AND(E49="",F49=""),0,MAX(0,IFERROR(E49+0,0)+IFERROR(F49+0,0)-IFERROR(G49+0,0))))</f>
        <v/>
      </c>
      <c r="I49" s="61" t="n"/>
      <c r="J49" s="37">
        <f>IF(OR(B49="",H49=0),"-",RANK.EQ(H49,$H$42:$H$49,0))</f>
        <v/>
      </c>
    </row>
    <row r="52" ht="26" customHeight="1">
      <c r="A52" s="56" t="inlineStr">
        <is>
          <t>ATLAMA (VT)  —  MİNİK B KIZLAR</t>
        </is>
      </c>
    </row>
    <row r="53" ht="26" customHeight="1">
      <c r="A53" s="27" t="inlineStr">
        <is>
          <t>Eleme
Sırası</t>
        </is>
      </c>
      <c r="B53" s="27" t="inlineStr">
        <is>
          <t>Ad</t>
        </is>
      </c>
      <c r="C53" s="27" t="inlineStr">
        <is>
          <t>Soyad</t>
        </is>
      </c>
      <c r="D53" s="27" t="inlineStr">
        <is>
          <t>Okul / Kulüp</t>
        </is>
      </c>
      <c r="E53" s="27" t="inlineStr">
        <is>
          <t>D</t>
        </is>
      </c>
      <c r="F53" s="27" t="inlineStr">
        <is>
          <t>E</t>
        </is>
      </c>
      <c r="G53" s="27" t="inlineStr">
        <is>
          <t>ND</t>
        </is>
      </c>
      <c r="H53" s="27" t="inlineStr">
        <is>
          <t>FİNAL</t>
        </is>
      </c>
      <c r="I53" s="27" t="inlineStr">
        <is>
          <t>Dur</t>
        </is>
      </c>
      <c r="J53" s="27" t="inlineStr">
        <is>
          <t>FİN.SIRA</t>
        </is>
      </c>
    </row>
    <row r="54" ht="18" customHeight="1">
      <c r="A54" s="29" t="n">
        <v>1</v>
      </c>
      <c r="B54" s="30" t="n"/>
      <c r="C54" s="30" t="n"/>
      <c r="D54" s="31" t="n"/>
      <c r="E54" s="33" t="n"/>
      <c r="F54" s="33" t="n"/>
      <c r="G54" s="33" t="n"/>
      <c r="H54" s="34">
        <f>IF(OR(I54="G",I54="D"),0,IF(AND(E54="",F54=""),0,MAX(0,IFERROR(E54+0,0)+IFERROR(F54+0,0)-IFERROR(G54+0,0))))</f>
        <v/>
      </c>
      <c r="I54" s="35" t="n"/>
      <c r="J54" s="37">
        <f>IF(OR(B54="",H54=0),"-",RANK.EQ(H54,$H$54:$H$61,0))</f>
        <v/>
      </c>
    </row>
    <row r="55" ht="18" customHeight="1">
      <c r="A55" s="57" t="n">
        <v>2</v>
      </c>
      <c r="B55" s="58" t="n"/>
      <c r="C55" s="58" t="n"/>
      <c r="D55" s="59" t="n"/>
      <c r="E55" s="60" t="n"/>
      <c r="F55" s="60" t="n"/>
      <c r="G55" s="60" t="n"/>
      <c r="H55" s="34">
        <f>IF(OR(I55="G",I55="D"),0,IF(AND(E55="",F55=""),0,MAX(0,IFERROR(E55+0,0)+IFERROR(F55+0,0)-IFERROR(G55+0,0))))</f>
        <v/>
      </c>
      <c r="I55" s="61" t="n"/>
      <c r="J55" s="37">
        <f>IF(OR(B55="",H55=0),"-",RANK.EQ(H55,$H$54:$H$61,0))</f>
        <v/>
      </c>
    </row>
    <row r="56" ht="18" customHeight="1">
      <c r="A56" s="29" t="n">
        <v>3</v>
      </c>
      <c r="B56" s="30" t="n"/>
      <c r="C56" s="30" t="n"/>
      <c r="D56" s="31" t="n"/>
      <c r="E56" s="33" t="n"/>
      <c r="F56" s="33" t="n"/>
      <c r="G56" s="33" t="n"/>
      <c r="H56" s="34">
        <f>IF(OR(I56="G",I56="D"),0,IF(AND(E56="",F56=""),0,MAX(0,IFERROR(E56+0,0)+IFERROR(F56+0,0)-IFERROR(G56+0,0))))</f>
        <v/>
      </c>
      <c r="I56" s="35" t="n"/>
      <c r="J56" s="37">
        <f>IF(OR(B56="",H56=0),"-",RANK.EQ(H56,$H$54:$H$61,0))</f>
        <v/>
      </c>
    </row>
    <row r="57" ht="18" customHeight="1">
      <c r="A57" s="57" t="n">
        <v>4</v>
      </c>
      <c r="B57" s="58" t="n"/>
      <c r="C57" s="58" t="n"/>
      <c r="D57" s="59" t="n"/>
      <c r="E57" s="60" t="n"/>
      <c r="F57" s="60" t="n"/>
      <c r="G57" s="60" t="n"/>
      <c r="H57" s="34">
        <f>IF(OR(I57="G",I57="D"),0,IF(AND(E57="",F57=""),0,MAX(0,IFERROR(E57+0,0)+IFERROR(F57+0,0)-IFERROR(G57+0,0))))</f>
        <v/>
      </c>
      <c r="I57" s="61" t="n"/>
      <c r="J57" s="37">
        <f>IF(OR(B57="",H57=0),"-",RANK.EQ(H57,$H$54:$H$61,0))</f>
        <v/>
      </c>
    </row>
    <row r="58" ht="18" customHeight="1">
      <c r="A58" s="29" t="n">
        <v>5</v>
      </c>
      <c r="B58" s="30" t="n"/>
      <c r="C58" s="30" t="n"/>
      <c r="D58" s="31" t="n"/>
      <c r="E58" s="33" t="n"/>
      <c r="F58" s="33" t="n"/>
      <c r="G58" s="33" t="n"/>
      <c r="H58" s="34">
        <f>IF(OR(I58="G",I58="D"),0,IF(AND(E58="",F58=""),0,MAX(0,IFERROR(E58+0,0)+IFERROR(F58+0,0)-IFERROR(G58+0,0))))</f>
        <v/>
      </c>
      <c r="I58" s="35" t="n"/>
      <c r="J58" s="37">
        <f>IF(OR(B58="",H58=0),"-",RANK.EQ(H58,$H$54:$H$61,0))</f>
        <v/>
      </c>
    </row>
    <row r="59" ht="18" customHeight="1">
      <c r="A59" s="57" t="n">
        <v>6</v>
      </c>
      <c r="B59" s="58" t="n"/>
      <c r="C59" s="58" t="n"/>
      <c r="D59" s="59" t="n"/>
      <c r="E59" s="60" t="n"/>
      <c r="F59" s="60" t="n"/>
      <c r="G59" s="60" t="n"/>
      <c r="H59" s="34">
        <f>IF(OR(I59="G",I59="D"),0,IF(AND(E59="",F59=""),0,MAX(0,IFERROR(E59+0,0)+IFERROR(F59+0,0)-IFERROR(G59+0,0))))</f>
        <v/>
      </c>
      <c r="I59" s="61" t="n"/>
      <c r="J59" s="37">
        <f>IF(OR(B59="",H59=0),"-",RANK.EQ(H59,$H$54:$H$61,0))</f>
        <v/>
      </c>
    </row>
    <row r="60" ht="18" customHeight="1">
      <c r="A60" s="29" t="n">
        <v>7</v>
      </c>
      <c r="B60" s="30" t="n"/>
      <c r="C60" s="30" t="n"/>
      <c r="D60" s="31" t="n"/>
      <c r="E60" s="33" t="n"/>
      <c r="F60" s="33" t="n"/>
      <c r="G60" s="33" t="n"/>
      <c r="H60" s="34">
        <f>IF(OR(I60="G",I60="D"),0,IF(AND(E60="",F60=""),0,MAX(0,IFERROR(E60+0,0)+IFERROR(F60+0,0)-IFERROR(G60+0,0))))</f>
        <v/>
      </c>
      <c r="I60" s="35" t="n"/>
      <c r="J60" s="37">
        <f>IF(OR(B60="",H60=0),"-",RANK.EQ(H60,$H$54:$H$61,0))</f>
        <v/>
      </c>
    </row>
    <row r="61" ht="18" customHeight="1">
      <c r="A61" s="57" t="n">
        <v>8</v>
      </c>
      <c r="B61" s="58" t="n"/>
      <c r="C61" s="58" t="n"/>
      <c r="D61" s="59" t="n"/>
      <c r="E61" s="60" t="n"/>
      <c r="F61" s="60" t="n"/>
      <c r="G61" s="60" t="n"/>
      <c r="H61" s="34">
        <f>IF(OR(I61="G",I61="D"),0,IF(AND(E61="",F61=""),0,MAX(0,IFERROR(E61+0,0)+IFERROR(F61+0,0)-IFERROR(G61+0,0))))</f>
        <v/>
      </c>
      <c r="I61" s="61" t="n"/>
      <c r="J61" s="37">
        <f>IF(OR(B61="",H61=0),"-",RANK.EQ(H61,$H$54:$H$61,0))</f>
        <v/>
      </c>
    </row>
    <row r="64" ht="26" customHeight="1">
      <c r="A64" s="56" t="inlineStr">
        <is>
          <t>SERBEST (FX)  —  MİNİK B KIZLAR</t>
        </is>
      </c>
    </row>
    <row r="65" ht="26" customHeight="1">
      <c r="A65" s="27" t="inlineStr">
        <is>
          <t>Eleme
Sırası</t>
        </is>
      </c>
      <c r="B65" s="27" t="inlineStr">
        <is>
          <t>Ad</t>
        </is>
      </c>
      <c r="C65" s="27" t="inlineStr">
        <is>
          <t>Soyad</t>
        </is>
      </c>
      <c r="D65" s="27" t="inlineStr">
        <is>
          <t>Okul / Kulüp</t>
        </is>
      </c>
      <c r="E65" s="27" t="inlineStr">
        <is>
          <t>D</t>
        </is>
      </c>
      <c r="F65" s="27" t="inlineStr">
        <is>
          <t>E</t>
        </is>
      </c>
      <c r="G65" s="27" t="inlineStr">
        <is>
          <t>ND</t>
        </is>
      </c>
      <c r="H65" s="27" t="inlineStr">
        <is>
          <t>FİNAL</t>
        </is>
      </c>
      <c r="I65" s="27" t="inlineStr">
        <is>
          <t>Dur</t>
        </is>
      </c>
      <c r="J65" s="27" t="inlineStr">
        <is>
          <t>FİN.SIRA</t>
        </is>
      </c>
    </row>
    <row r="66" ht="18" customHeight="1">
      <c r="A66" s="29" t="n">
        <v>1</v>
      </c>
      <c r="B66" s="30" t="n"/>
      <c r="C66" s="30" t="n"/>
      <c r="D66" s="31" t="n"/>
      <c r="E66" s="33" t="n"/>
      <c r="F66" s="33" t="n"/>
      <c r="G66" s="33" t="n"/>
      <c r="H66" s="34">
        <f>IF(OR(I66="G",I66="D"),0,IF(AND(E66="",F66=""),0,MAX(0,IFERROR(E66+0,0)+IFERROR(F66+0,0)-IFERROR(G66+0,0))))</f>
        <v/>
      </c>
      <c r="I66" s="35" t="n"/>
      <c r="J66" s="37">
        <f>IF(OR(B66="",H66=0),"-",RANK.EQ(H66,$H$66:$H$73,0))</f>
        <v/>
      </c>
    </row>
    <row r="67" ht="18" customHeight="1">
      <c r="A67" s="57" t="n">
        <v>2</v>
      </c>
      <c r="B67" s="58" t="n"/>
      <c r="C67" s="58" t="n"/>
      <c r="D67" s="59" t="n"/>
      <c r="E67" s="60" t="n"/>
      <c r="F67" s="60" t="n"/>
      <c r="G67" s="60" t="n"/>
      <c r="H67" s="34">
        <f>IF(OR(I67="G",I67="D"),0,IF(AND(E67="",F67=""),0,MAX(0,IFERROR(E67+0,0)+IFERROR(F67+0,0)-IFERROR(G67+0,0))))</f>
        <v/>
      </c>
      <c r="I67" s="61" t="n"/>
      <c r="J67" s="37">
        <f>IF(OR(B67="",H67=0),"-",RANK.EQ(H67,$H$66:$H$73,0))</f>
        <v/>
      </c>
    </row>
    <row r="68" ht="18" customHeight="1">
      <c r="A68" s="29" t="n">
        <v>3</v>
      </c>
      <c r="B68" s="30" t="n"/>
      <c r="C68" s="30" t="n"/>
      <c r="D68" s="31" t="n"/>
      <c r="E68" s="33" t="n"/>
      <c r="F68" s="33" t="n"/>
      <c r="G68" s="33" t="n"/>
      <c r="H68" s="34">
        <f>IF(OR(I68="G",I68="D"),0,IF(AND(E68="",F68=""),0,MAX(0,IFERROR(E68+0,0)+IFERROR(F68+0,0)-IFERROR(G68+0,0))))</f>
        <v/>
      </c>
      <c r="I68" s="35" t="n"/>
      <c r="J68" s="37">
        <f>IF(OR(B68="",H68=0),"-",RANK.EQ(H68,$H$66:$H$73,0))</f>
        <v/>
      </c>
    </row>
    <row r="69" ht="18" customHeight="1">
      <c r="A69" s="57" t="n">
        <v>4</v>
      </c>
      <c r="B69" s="58" t="n"/>
      <c r="C69" s="58" t="n"/>
      <c r="D69" s="59" t="n"/>
      <c r="E69" s="60" t="n"/>
      <c r="F69" s="60" t="n"/>
      <c r="G69" s="60" t="n"/>
      <c r="H69" s="34">
        <f>IF(OR(I69="G",I69="D"),0,IF(AND(E69="",F69=""),0,MAX(0,IFERROR(E69+0,0)+IFERROR(F69+0,0)-IFERROR(G69+0,0))))</f>
        <v/>
      </c>
      <c r="I69" s="61" t="n"/>
      <c r="J69" s="37">
        <f>IF(OR(B69="",H69=0),"-",RANK.EQ(H69,$H$66:$H$73,0))</f>
        <v/>
      </c>
    </row>
    <row r="70" ht="18" customHeight="1">
      <c r="A70" s="29" t="n">
        <v>5</v>
      </c>
      <c r="B70" s="30" t="n"/>
      <c r="C70" s="30" t="n"/>
      <c r="D70" s="31" t="n"/>
      <c r="E70" s="33" t="n"/>
      <c r="F70" s="33" t="n"/>
      <c r="G70" s="33" t="n"/>
      <c r="H70" s="34">
        <f>IF(OR(I70="G",I70="D"),0,IF(AND(E70="",F70=""),0,MAX(0,IFERROR(E70+0,0)+IFERROR(F70+0,0)-IFERROR(G70+0,0))))</f>
        <v/>
      </c>
      <c r="I70" s="35" t="n"/>
      <c r="J70" s="37">
        <f>IF(OR(B70="",H70=0),"-",RANK.EQ(H70,$H$66:$H$73,0))</f>
        <v/>
      </c>
    </row>
    <row r="71" ht="18" customHeight="1">
      <c r="A71" s="57" t="n">
        <v>6</v>
      </c>
      <c r="B71" s="58" t="n"/>
      <c r="C71" s="58" t="n"/>
      <c r="D71" s="59" t="n"/>
      <c r="E71" s="60" t="n"/>
      <c r="F71" s="60" t="n"/>
      <c r="G71" s="60" t="n"/>
      <c r="H71" s="34">
        <f>IF(OR(I71="G",I71="D"),0,IF(AND(E71="",F71=""),0,MAX(0,IFERROR(E71+0,0)+IFERROR(F71+0,0)-IFERROR(G71+0,0))))</f>
        <v/>
      </c>
      <c r="I71" s="61" t="n"/>
      <c r="J71" s="37">
        <f>IF(OR(B71="",H71=0),"-",RANK.EQ(H71,$H$66:$H$73,0))</f>
        <v/>
      </c>
    </row>
    <row r="72" ht="18" customHeight="1">
      <c r="A72" s="29" t="n">
        <v>7</v>
      </c>
      <c r="B72" s="30" t="n"/>
      <c r="C72" s="30" t="n"/>
      <c r="D72" s="31" t="n"/>
      <c r="E72" s="33" t="n"/>
      <c r="F72" s="33" t="n"/>
      <c r="G72" s="33" t="n"/>
      <c r="H72" s="34">
        <f>IF(OR(I72="G",I72="D"),0,IF(AND(E72="",F72=""),0,MAX(0,IFERROR(E72+0,0)+IFERROR(F72+0,0)-IFERROR(G72+0,0))))</f>
        <v/>
      </c>
      <c r="I72" s="35" t="n"/>
      <c r="J72" s="37">
        <f>IF(OR(B72="",H72=0),"-",RANK.EQ(H72,$H$66:$H$73,0))</f>
        <v/>
      </c>
    </row>
    <row r="73" ht="18" customHeight="1">
      <c r="A73" s="57" t="n">
        <v>8</v>
      </c>
      <c r="B73" s="58" t="n"/>
      <c r="C73" s="58" t="n"/>
      <c r="D73" s="59" t="n"/>
      <c r="E73" s="60" t="n"/>
      <c r="F73" s="60" t="n"/>
      <c r="G73" s="60" t="n"/>
      <c r="H73" s="34">
        <f>IF(OR(I73="G",I73="D"),0,IF(AND(E73="",F73=""),0,MAX(0,IFERROR(E73+0,0)+IFERROR(F73+0,0)-IFERROR(G73+0,0))))</f>
        <v/>
      </c>
      <c r="I73" s="61" t="n"/>
      <c r="J73" s="37">
        <f>IF(OR(B73="",H73=0),"-",RANK.EQ(H73,$H$66:$H$73,0))</f>
        <v/>
      </c>
    </row>
    <row r="76" ht="26" customHeight="1">
      <c r="A76" s="56" t="inlineStr">
        <is>
          <t>YER (FX)  —  MİNİK B ERKEKLER</t>
        </is>
      </c>
    </row>
    <row r="77" ht="26" customHeight="1">
      <c r="A77" s="27" t="inlineStr">
        <is>
          <t>Eleme
Sırası</t>
        </is>
      </c>
      <c r="B77" s="27" t="inlineStr">
        <is>
          <t>Ad</t>
        </is>
      </c>
      <c r="C77" s="27" t="inlineStr">
        <is>
          <t>Soyad</t>
        </is>
      </c>
      <c r="D77" s="27" t="inlineStr">
        <is>
          <t>Okul / Kulüp</t>
        </is>
      </c>
      <c r="E77" s="27" t="inlineStr">
        <is>
          <t>D</t>
        </is>
      </c>
      <c r="F77" s="27" t="inlineStr">
        <is>
          <t>E</t>
        </is>
      </c>
      <c r="G77" s="27" t="inlineStr">
        <is>
          <t>ND</t>
        </is>
      </c>
      <c r="H77" s="27" t="inlineStr">
        <is>
          <t>FİNAL</t>
        </is>
      </c>
      <c r="I77" s="27" t="inlineStr">
        <is>
          <t>Dur</t>
        </is>
      </c>
      <c r="J77" s="27" t="inlineStr">
        <is>
          <t>FİN.SIRA</t>
        </is>
      </c>
    </row>
    <row r="78" ht="18" customHeight="1">
      <c r="A78" s="29" t="n">
        <v>1</v>
      </c>
      <c r="B78" s="30" t="n"/>
      <c r="C78" s="30" t="n"/>
      <c r="D78" s="31" t="n"/>
      <c r="E78" s="33" t="n"/>
      <c r="F78" s="33" t="n"/>
      <c r="G78" s="33" t="n"/>
      <c r="H78" s="34">
        <f>IF(OR(I78="G",I78="D"),0,IF(AND(E78="",F78=""),0,MAX(0,IFERROR(E78+0,0)+IFERROR(F78+0,0)-IFERROR(G78+0,0))))</f>
        <v/>
      </c>
      <c r="I78" s="35" t="n"/>
      <c r="J78" s="37">
        <f>IF(OR(B78="",H78=0),"-",RANK.EQ(H78,$H$78:$H$85,0))</f>
        <v/>
      </c>
    </row>
    <row r="79" ht="18" customHeight="1">
      <c r="A79" s="57" t="n">
        <v>2</v>
      </c>
      <c r="B79" s="58" t="n"/>
      <c r="C79" s="58" t="n"/>
      <c r="D79" s="59" t="n"/>
      <c r="E79" s="60" t="n"/>
      <c r="F79" s="60" t="n"/>
      <c r="G79" s="60" t="n"/>
      <c r="H79" s="34">
        <f>IF(OR(I79="G",I79="D"),0,IF(AND(E79="",F79=""),0,MAX(0,IFERROR(E79+0,0)+IFERROR(F79+0,0)-IFERROR(G79+0,0))))</f>
        <v/>
      </c>
      <c r="I79" s="61" t="n"/>
      <c r="J79" s="37">
        <f>IF(OR(B79="",H79=0),"-",RANK.EQ(H79,$H$78:$H$85,0))</f>
        <v/>
      </c>
    </row>
    <row r="80" ht="18" customHeight="1">
      <c r="A80" s="29" t="n">
        <v>3</v>
      </c>
      <c r="B80" s="30" t="n"/>
      <c r="C80" s="30" t="n"/>
      <c r="D80" s="31" t="n"/>
      <c r="E80" s="33" t="n"/>
      <c r="F80" s="33" t="n"/>
      <c r="G80" s="33" t="n"/>
      <c r="H80" s="34">
        <f>IF(OR(I80="G",I80="D"),0,IF(AND(E80="",F80=""),0,MAX(0,IFERROR(E80+0,0)+IFERROR(F80+0,0)-IFERROR(G80+0,0))))</f>
        <v/>
      </c>
      <c r="I80" s="35" t="n"/>
      <c r="J80" s="37">
        <f>IF(OR(B80="",H80=0),"-",RANK.EQ(H80,$H$78:$H$85,0))</f>
        <v/>
      </c>
    </row>
    <row r="81" ht="18" customHeight="1">
      <c r="A81" s="57" t="n">
        <v>4</v>
      </c>
      <c r="B81" s="58" t="n"/>
      <c r="C81" s="58" t="n"/>
      <c r="D81" s="59" t="n"/>
      <c r="E81" s="60" t="n"/>
      <c r="F81" s="60" t="n"/>
      <c r="G81" s="60" t="n"/>
      <c r="H81" s="34">
        <f>IF(OR(I81="G",I81="D"),0,IF(AND(E81="",F81=""),0,MAX(0,IFERROR(E81+0,0)+IFERROR(F81+0,0)-IFERROR(G81+0,0))))</f>
        <v/>
      </c>
      <c r="I81" s="61" t="n"/>
      <c r="J81" s="37">
        <f>IF(OR(B81="",H81=0),"-",RANK.EQ(H81,$H$78:$H$85,0))</f>
        <v/>
      </c>
    </row>
    <row r="82" ht="18" customHeight="1">
      <c r="A82" s="29" t="n">
        <v>5</v>
      </c>
      <c r="B82" s="30" t="n"/>
      <c r="C82" s="30" t="n"/>
      <c r="D82" s="31" t="n"/>
      <c r="E82" s="33" t="n"/>
      <c r="F82" s="33" t="n"/>
      <c r="G82" s="33" t="n"/>
      <c r="H82" s="34">
        <f>IF(OR(I82="G",I82="D"),0,IF(AND(E82="",F82=""),0,MAX(0,IFERROR(E82+0,0)+IFERROR(F82+0,0)-IFERROR(G82+0,0))))</f>
        <v/>
      </c>
      <c r="I82" s="35" t="n"/>
      <c r="J82" s="37">
        <f>IF(OR(B82="",H82=0),"-",RANK.EQ(H82,$H$78:$H$85,0))</f>
        <v/>
      </c>
    </row>
    <row r="83" ht="18" customHeight="1">
      <c r="A83" s="57" t="n">
        <v>6</v>
      </c>
      <c r="B83" s="58" t="n"/>
      <c r="C83" s="58" t="n"/>
      <c r="D83" s="59" t="n"/>
      <c r="E83" s="60" t="n"/>
      <c r="F83" s="60" t="n"/>
      <c r="G83" s="60" t="n"/>
      <c r="H83" s="34">
        <f>IF(OR(I83="G",I83="D"),0,IF(AND(E83="",F83=""),0,MAX(0,IFERROR(E83+0,0)+IFERROR(F83+0,0)-IFERROR(G83+0,0))))</f>
        <v/>
      </c>
      <c r="I83" s="61" t="n"/>
      <c r="J83" s="37">
        <f>IF(OR(B83="",H83=0),"-",RANK.EQ(H83,$H$78:$H$85,0))</f>
        <v/>
      </c>
    </row>
    <row r="84" ht="18" customHeight="1">
      <c r="A84" s="29" t="n">
        <v>7</v>
      </c>
      <c r="B84" s="30" t="n"/>
      <c r="C84" s="30" t="n"/>
      <c r="D84" s="31" t="n"/>
      <c r="E84" s="33" t="n"/>
      <c r="F84" s="33" t="n"/>
      <c r="G84" s="33" t="n"/>
      <c r="H84" s="34">
        <f>IF(OR(I84="G",I84="D"),0,IF(AND(E84="",F84=""),0,MAX(0,IFERROR(E84+0,0)+IFERROR(F84+0,0)-IFERROR(G84+0,0))))</f>
        <v/>
      </c>
      <c r="I84" s="35" t="n"/>
      <c r="J84" s="37">
        <f>IF(OR(B84="",H84=0),"-",RANK.EQ(H84,$H$78:$H$85,0))</f>
        <v/>
      </c>
    </row>
    <row r="85" ht="18" customHeight="1">
      <c r="A85" s="57" t="n">
        <v>8</v>
      </c>
      <c r="B85" s="58" t="n"/>
      <c r="C85" s="58" t="n"/>
      <c r="D85" s="59" t="n"/>
      <c r="E85" s="60" t="n"/>
      <c r="F85" s="60" t="n"/>
      <c r="G85" s="60" t="n"/>
      <c r="H85" s="34">
        <f>IF(OR(I85="G",I85="D"),0,IF(AND(E85="",F85=""),0,MAX(0,IFERROR(E85+0,0)+IFERROR(F85+0,0)-IFERROR(G85+0,0))))</f>
        <v/>
      </c>
      <c r="I85" s="61" t="n"/>
      <c r="J85" s="37">
        <f>IF(OR(B85="",H85=0),"-",RANK.EQ(H85,$H$78:$H$85,0))</f>
        <v/>
      </c>
    </row>
    <row r="88" ht="26" customHeight="1">
      <c r="A88" s="56" t="inlineStr">
        <is>
          <t>ATLAMA (VT)  —  MİNİK B ERKEKLER</t>
        </is>
      </c>
    </row>
    <row r="89" ht="26" customHeight="1">
      <c r="A89" s="27" t="inlineStr">
        <is>
          <t>Eleme
Sırası</t>
        </is>
      </c>
      <c r="B89" s="27" t="inlineStr">
        <is>
          <t>Ad</t>
        </is>
      </c>
      <c r="C89" s="27" t="inlineStr">
        <is>
          <t>Soyad</t>
        </is>
      </c>
      <c r="D89" s="27" t="inlineStr">
        <is>
          <t>Okul / Kulüp</t>
        </is>
      </c>
      <c r="E89" s="27" t="inlineStr">
        <is>
          <t>D</t>
        </is>
      </c>
      <c r="F89" s="27" t="inlineStr">
        <is>
          <t>E</t>
        </is>
      </c>
      <c r="G89" s="27" t="inlineStr">
        <is>
          <t>ND</t>
        </is>
      </c>
      <c r="H89" s="27" t="inlineStr">
        <is>
          <t>FİNAL</t>
        </is>
      </c>
      <c r="I89" s="27" t="inlineStr">
        <is>
          <t>Dur</t>
        </is>
      </c>
      <c r="J89" s="27" t="inlineStr">
        <is>
          <t>FİN.SIRA</t>
        </is>
      </c>
    </row>
    <row r="90" ht="18" customHeight="1">
      <c r="A90" s="29" t="n">
        <v>1</v>
      </c>
      <c r="B90" s="30" t="n"/>
      <c r="C90" s="30" t="n"/>
      <c r="D90" s="31" t="n"/>
      <c r="E90" s="33" t="n"/>
      <c r="F90" s="33" t="n"/>
      <c r="G90" s="33" t="n"/>
      <c r="H90" s="34">
        <f>IF(OR(I90="G",I90="D"),0,IF(AND(E90="",F90=""),0,MAX(0,IFERROR(E90+0,0)+IFERROR(F90+0,0)-IFERROR(G90+0,0))))</f>
        <v/>
      </c>
      <c r="I90" s="35" t="n"/>
      <c r="J90" s="37">
        <f>IF(OR(B90="",H90=0),"-",RANK.EQ(H90,$H$90:$H$97,0))</f>
        <v/>
      </c>
    </row>
    <row r="91" ht="18" customHeight="1">
      <c r="A91" s="57" t="n">
        <v>2</v>
      </c>
      <c r="B91" s="58" t="n"/>
      <c r="C91" s="58" t="n"/>
      <c r="D91" s="59" t="n"/>
      <c r="E91" s="60" t="n"/>
      <c r="F91" s="60" t="n"/>
      <c r="G91" s="60" t="n"/>
      <c r="H91" s="34">
        <f>IF(OR(I91="G",I91="D"),0,IF(AND(E91="",F91=""),0,MAX(0,IFERROR(E91+0,0)+IFERROR(F91+0,0)-IFERROR(G91+0,0))))</f>
        <v/>
      </c>
      <c r="I91" s="61" t="n"/>
      <c r="J91" s="37">
        <f>IF(OR(B91="",H91=0),"-",RANK.EQ(H91,$H$90:$H$97,0))</f>
        <v/>
      </c>
    </row>
    <row r="92" ht="18" customHeight="1">
      <c r="A92" s="29" t="n">
        <v>3</v>
      </c>
      <c r="B92" s="30" t="n"/>
      <c r="C92" s="30" t="n"/>
      <c r="D92" s="31" t="n"/>
      <c r="E92" s="33" t="n"/>
      <c r="F92" s="33" t="n"/>
      <c r="G92" s="33" t="n"/>
      <c r="H92" s="34">
        <f>IF(OR(I92="G",I92="D"),0,IF(AND(E92="",F92=""),0,MAX(0,IFERROR(E92+0,0)+IFERROR(F92+0,0)-IFERROR(G92+0,0))))</f>
        <v/>
      </c>
      <c r="I92" s="35" t="n"/>
      <c r="J92" s="37">
        <f>IF(OR(B92="",H92=0),"-",RANK.EQ(H92,$H$90:$H$97,0))</f>
        <v/>
      </c>
    </row>
    <row r="93" ht="18" customHeight="1">
      <c r="A93" s="57" t="n">
        <v>4</v>
      </c>
      <c r="B93" s="58" t="n"/>
      <c r="C93" s="58" t="n"/>
      <c r="D93" s="59" t="n"/>
      <c r="E93" s="60" t="n"/>
      <c r="F93" s="60" t="n"/>
      <c r="G93" s="60" t="n"/>
      <c r="H93" s="34">
        <f>IF(OR(I93="G",I93="D"),0,IF(AND(E93="",F93=""),0,MAX(0,IFERROR(E93+0,0)+IFERROR(F93+0,0)-IFERROR(G93+0,0))))</f>
        <v/>
      </c>
      <c r="I93" s="61" t="n"/>
      <c r="J93" s="37">
        <f>IF(OR(B93="",H93=0),"-",RANK.EQ(H93,$H$90:$H$97,0))</f>
        <v/>
      </c>
    </row>
    <row r="94" ht="18" customHeight="1">
      <c r="A94" s="29" t="n">
        <v>5</v>
      </c>
      <c r="B94" s="30" t="n"/>
      <c r="C94" s="30" t="n"/>
      <c r="D94" s="31" t="n"/>
      <c r="E94" s="33" t="n"/>
      <c r="F94" s="33" t="n"/>
      <c r="G94" s="33" t="n"/>
      <c r="H94" s="34">
        <f>IF(OR(I94="G",I94="D"),0,IF(AND(E94="",F94=""),0,MAX(0,IFERROR(E94+0,0)+IFERROR(F94+0,0)-IFERROR(G94+0,0))))</f>
        <v/>
      </c>
      <c r="I94" s="35" t="n"/>
      <c r="J94" s="37">
        <f>IF(OR(B94="",H94=0),"-",RANK.EQ(H94,$H$90:$H$97,0))</f>
        <v/>
      </c>
    </row>
    <row r="95" ht="18" customHeight="1">
      <c r="A95" s="57" t="n">
        <v>6</v>
      </c>
      <c r="B95" s="58" t="n"/>
      <c r="C95" s="58" t="n"/>
      <c r="D95" s="59" t="n"/>
      <c r="E95" s="60" t="n"/>
      <c r="F95" s="60" t="n"/>
      <c r="G95" s="60" t="n"/>
      <c r="H95" s="34">
        <f>IF(OR(I95="G",I95="D"),0,IF(AND(E95="",F95=""),0,MAX(0,IFERROR(E95+0,0)+IFERROR(F95+0,0)-IFERROR(G95+0,0))))</f>
        <v/>
      </c>
      <c r="I95" s="61" t="n"/>
      <c r="J95" s="37">
        <f>IF(OR(B95="",H95=0),"-",RANK.EQ(H95,$H$90:$H$97,0))</f>
        <v/>
      </c>
    </row>
    <row r="96" ht="18" customHeight="1">
      <c r="A96" s="29" t="n">
        <v>7</v>
      </c>
      <c r="B96" s="30" t="n"/>
      <c r="C96" s="30" t="n"/>
      <c r="D96" s="31" t="n"/>
      <c r="E96" s="33" t="n"/>
      <c r="F96" s="33" t="n"/>
      <c r="G96" s="33" t="n"/>
      <c r="H96" s="34">
        <f>IF(OR(I96="G",I96="D"),0,IF(AND(E96="",F96=""),0,MAX(0,IFERROR(E96+0,0)+IFERROR(F96+0,0)-IFERROR(G96+0,0))))</f>
        <v/>
      </c>
      <c r="I96" s="35" t="n"/>
      <c r="J96" s="37">
        <f>IF(OR(B96="",H96=0),"-",RANK.EQ(H96,$H$90:$H$97,0))</f>
        <v/>
      </c>
    </row>
    <row r="97" ht="18" customHeight="1">
      <c r="A97" s="57" t="n">
        <v>8</v>
      </c>
      <c r="B97" s="58" t="n"/>
      <c r="C97" s="58" t="n"/>
      <c r="D97" s="59" t="n"/>
      <c r="E97" s="60" t="n"/>
      <c r="F97" s="60" t="n"/>
      <c r="G97" s="60" t="n"/>
      <c r="H97" s="34">
        <f>IF(OR(I97="G",I97="D"),0,IF(AND(E97="",F97=""),0,MAX(0,IFERROR(E97+0,0)+IFERROR(F97+0,0)-IFERROR(G97+0,0))))</f>
        <v/>
      </c>
      <c r="I97" s="61" t="n"/>
      <c r="J97" s="37">
        <f>IF(OR(B97="",H97=0),"-",RANK.EQ(H97,$H$90:$H$97,0))</f>
        <v/>
      </c>
    </row>
    <row r="100" ht="26" customHeight="1">
      <c r="A100" s="56" t="inlineStr">
        <is>
          <t>ATLAMA (VT)  —  KÜÇÜK KIZLAR</t>
        </is>
      </c>
    </row>
    <row r="101" ht="26" customHeight="1">
      <c r="A101" s="27" t="inlineStr">
        <is>
          <t>Eleme
Sırası</t>
        </is>
      </c>
      <c r="B101" s="27" t="inlineStr">
        <is>
          <t>Ad</t>
        </is>
      </c>
      <c r="C101" s="27" t="inlineStr">
        <is>
          <t>Soyad</t>
        </is>
      </c>
      <c r="D101" s="27" t="inlineStr">
        <is>
          <t>Okul / Kulüp</t>
        </is>
      </c>
      <c r="E101" s="27" t="inlineStr">
        <is>
          <t>D</t>
        </is>
      </c>
      <c r="F101" s="27" t="inlineStr">
        <is>
          <t>E</t>
        </is>
      </c>
      <c r="G101" s="27" t="inlineStr">
        <is>
          <t>ND</t>
        </is>
      </c>
      <c r="H101" s="27" t="inlineStr">
        <is>
          <t>FİNAL</t>
        </is>
      </c>
      <c r="I101" s="27" t="inlineStr">
        <is>
          <t>Dur</t>
        </is>
      </c>
      <c r="J101" s="27" t="inlineStr">
        <is>
          <t>FİN.SIRA</t>
        </is>
      </c>
    </row>
    <row r="102" ht="18" customHeight="1">
      <c r="A102" s="29" t="n">
        <v>1</v>
      </c>
      <c r="B102" s="30" t="n"/>
      <c r="C102" s="30" t="n"/>
      <c r="D102" s="31" t="n"/>
      <c r="E102" s="33" t="n"/>
      <c r="F102" s="33" t="n"/>
      <c r="G102" s="33" t="n"/>
      <c r="H102" s="34">
        <f>IF(OR(I102="G",I102="D"),0,IF(AND(E102="",F102=""),0,MAX(0,IFERROR(E102+0,0)+IFERROR(F102+0,0)-IFERROR(G102+0,0))))</f>
        <v/>
      </c>
      <c r="I102" s="35" t="n"/>
      <c r="J102" s="37">
        <f>IF(OR(B102="",H102=0),"-",RANK.EQ(H102,$H$102:$H$109,0))</f>
        <v/>
      </c>
    </row>
    <row r="103" ht="18" customHeight="1">
      <c r="A103" s="57" t="n">
        <v>2</v>
      </c>
      <c r="B103" s="58" t="n"/>
      <c r="C103" s="58" t="n"/>
      <c r="D103" s="59" t="n"/>
      <c r="E103" s="60" t="n"/>
      <c r="F103" s="60" t="n"/>
      <c r="G103" s="60" t="n"/>
      <c r="H103" s="34">
        <f>IF(OR(I103="G",I103="D"),0,IF(AND(E103="",F103=""),0,MAX(0,IFERROR(E103+0,0)+IFERROR(F103+0,0)-IFERROR(G103+0,0))))</f>
        <v/>
      </c>
      <c r="I103" s="61" t="n"/>
      <c r="J103" s="37">
        <f>IF(OR(B103="",H103=0),"-",RANK.EQ(H103,$H$102:$H$109,0))</f>
        <v/>
      </c>
    </row>
    <row r="104" ht="18" customHeight="1">
      <c r="A104" s="29" t="n">
        <v>3</v>
      </c>
      <c r="B104" s="30" t="n"/>
      <c r="C104" s="30" t="n"/>
      <c r="D104" s="31" t="n"/>
      <c r="E104" s="33" t="n"/>
      <c r="F104" s="33" t="n"/>
      <c r="G104" s="33" t="n"/>
      <c r="H104" s="34">
        <f>IF(OR(I104="G",I104="D"),0,IF(AND(E104="",F104=""),0,MAX(0,IFERROR(E104+0,0)+IFERROR(F104+0,0)-IFERROR(G104+0,0))))</f>
        <v/>
      </c>
      <c r="I104" s="35" t="n"/>
      <c r="J104" s="37">
        <f>IF(OR(B104="",H104=0),"-",RANK.EQ(H104,$H$102:$H$109,0))</f>
        <v/>
      </c>
    </row>
    <row r="105" ht="18" customHeight="1">
      <c r="A105" s="57" t="n">
        <v>4</v>
      </c>
      <c r="B105" s="58" t="n"/>
      <c r="C105" s="58" t="n"/>
      <c r="D105" s="59" t="n"/>
      <c r="E105" s="60" t="n"/>
      <c r="F105" s="60" t="n"/>
      <c r="G105" s="60" t="n"/>
      <c r="H105" s="34">
        <f>IF(OR(I105="G",I105="D"),0,IF(AND(E105="",F105=""),0,MAX(0,IFERROR(E105+0,0)+IFERROR(F105+0,0)-IFERROR(G105+0,0))))</f>
        <v/>
      </c>
      <c r="I105" s="61" t="n"/>
      <c r="J105" s="37">
        <f>IF(OR(B105="",H105=0),"-",RANK.EQ(H105,$H$102:$H$109,0))</f>
        <v/>
      </c>
    </row>
    <row r="106" ht="18" customHeight="1">
      <c r="A106" s="29" t="n">
        <v>5</v>
      </c>
      <c r="B106" s="30" t="n"/>
      <c r="C106" s="30" t="n"/>
      <c r="D106" s="31" t="n"/>
      <c r="E106" s="33" t="n"/>
      <c r="F106" s="33" t="n"/>
      <c r="G106" s="33" t="n"/>
      <c r="H106" s="34">
        <f>IF(OR(I106="G",I106="D"),0,IF(AND(E106="",F106=""),0,MAX(0,IFERROR(E106+0,0)+IFERROR(F106+0,0)-IFERROR(G106+0,0))))</f>
        <v/>
      </c>
      <c r="I106" s="35" t="n"/>
      <c r="J106" s="37">
        <f>IF(OR(B106="",H106=0),"-",RANK.EQ(H106,$H$102:$H$109,0))</f>
        <v/>
      </c>
    </row>
    <row r="107" ht="18" customHeight="1">
      <c r="A107" s="57" t="n">
        <v>6</v>
      </c>
      <c r="B107" s="58" t="n"/>
      <c r="C107" s="58" t="n"/>
      <c r="D107" s="59" t="n"/>
      <c r="E107" s="60" t="n"/>
      <c r="F107" s="60" t="n"/>
      <c r="G107" s="60" t="n"/>
      <c r="H107" s="34">
        <f>IF(OR(I107="G",I107="D"),0,IF(AND(E107="",F107=""),0,MAX(0,IFERROR(E107+0,0)+IFERROR(F107+0,0)-IFERROR(G107+0,0))))</f>
        <v/>
      </c>
      <c r="I107" s="61" t="n"/>
      <c r="J107" s="37">
        <f>IF(OR(B107="",H107=0),"-",RANK.EQ(H107,$H$102:$H$109,0))</f>
        <v/>
      </c>
    </row>
    <row r="108" ht="18" customHeight="1">
      <c r="A108" s="29" t="n">
        <v>7</v>
      </c>
      <c r="B108" s="30" t="n"/>
      <c r="C108" s="30" t="n"/>
      <c r="D108" s="31" t="n"/>
      <c r="E108" s="33" t="n"/>
      <c r="F108" s="33" t="n"/>
      <c r="G108" s="33" t="n"/>
      <c r="H108" s="34">
        <f>IF(OR(I108="G",I108="D"),0,IF(AND(E108="",F108=""),0,MAX(0,IFERROR(E108+0,0)+IFERROR(F108+0,0)-IFERROR(G108+0,0))))</f>
        <v/>
      </c>
      <c r="I108" s="35" t="n"/>
      <c r="J108" s="37">
        <f>IF(OR(B108="",H108=0),"-",RANK.EQ(H108,$H$102:$H$109,0))</f>
        <v/>
      </c>
    </row>
    <row r="109" ht="18" customHeight="1">
      <c r="A109" s="57" t="n">
        <v>8</v>
      </c>
      <c r="B109" s="58" t="n"/>
      <c r="C109" s="58" t="n"/>
      <c r="D109" s="59" t="n"/>
      <c r="E109" s="60" t="n"/>
      <c r="F109" s="60" t="n"/>
      <c r="G109" s="60" t="n"/>
      <c r="H109" s="34">
        <f>IF(OR(I109="G",I109="D"),0,IF(AND(E109="",F109=""),0,MAX(0,IFERROR(E109+0,0)+IFERROR(F109+0,0)-IFERROR(G109+0,0))))</f>
        <v/>
      </c>
      <c r="I109" s="61" t="n"/>
      <c r="J109" s="37">
        <f>IF(OR(B109="",H109=0),"-",RANK.EQ(H109,$H$102:$H$109,0))</f>
        <v/>
      </c>
    </row>
    <row r="112" ht="26" customHeight="1">
      <c r="A112" s="56" t="inlineStr">
        <is>
          <t>AS.PARALEL (UB)  —  KÜÇÜK KIZLAR</t>
        </is>
      </c>
    </row>
    <row r="113" ht="26" customHeight="1">
      <c r="A113" s="27" t="inlineStr">
        <is>
          <t>Eleme
Sırası</t>
        </is>
      </c>
      <c r="B113" s="27" t="inlineStr">
        <is>
          <t>Ad</t>
        </is>
      </c>
      <c r="C113" s="27" t="inlineStr">
        <is>
          <t>Soyad</t>
        </is>
      </c>
      <c r="D113" s="27" t="inlineStr">
        <is>
          <t>Okul / Kulüp</t>
        </is>
      </c>
      <c r="E113" s="27" t="inlineStr">
        <is>
          <t>D</t>
        </is>
      </c>
      <c r="F113" s="27" t="inlineStr">
        <is>
          <t>E</t>
        </is>
      </c>
      <c r="G113" s="27" t="inlineStr">
        <is>
          <t>ND</t>
        </is>
      </c>
      <c r="H113" s="27" t="inlineStr">
        <is>
          <t>FİNAL</t>
        </is>
      </c>
      <c r="I113" s="27" t="inlineStr">
        <is>
          <t>Dur</t>
        </is>
      </c>
      <c r="J113" s="27" t="inlineStr">
        <is>
          <t>FİN.SIRA</t>
        </is>
      </c>
    </row>
    <row r="114" ht="18" customHeight="1">
      <c r="A114" s="29" t="n">
        <v>1</v>
      </c>
      <c r="B114" s="30" t="n"/>
      <c r="C114" s="30" t="n"/>
      <c r="D114" s="31" t="n"/>
      <c r="E114" s="33" t="n"/>
      <c r="F114" s="33" t="n"/>
      <c r="G114" s="33" t="n"/>
      <c r="H114" s="34">
        <f>IF(OR(I114="G",I114="D"),0,IF(AND(E114="",F114=""),0,MAX(0,IFERROR(E114+0,0)+IFERROR(F114+0,0)-IFERROR(G114+0,0))))</f>
        <v/>
      </c>
      <c r="I114" s="35" t="n"/>
      <c r="J114" s="37">
        <f>IF(OR(B114="",H114=0),"-",RANK.EQ(H114,$H$114:$H$121,0))</f>
        <v/>
      </c>
    </row>
    <row r="115" ht="18" customHeight="1">
      <c r="A115" s="57" t="n">
        <v>2</v>
      </c>
      <c r="B115" s="58" t="n"/>
      <c r="C115" s="58" t="n"/>
      <c r="D115" s="59" t="n"/>
      <c r="E115" s="60" t="n"/>
      <c r="F115" s="60" t="n"/>
      <c r="G115" s="60" t="n"/>
      <c r="H115" s="34">
        <f>IF(OR(I115="G",I115="D"),0,IF(AND(E115="",F115=""),0,MAX(0,IFERROR(E115+0,0)+IFERROR(F115+0,0)-IFERROR(G115+0,0))))</f>
        <v/>
      </c>
      <c r="I115" s="61" t="n"/>
      <c r="J115" s="37">
        <f>IF(OR(B115="",H115=0),"-",RANK.EQ(H115,$H$114:$H$121,0))</f>
        <v/>
      </c>
    </row>
    <row r="116" ht="18" customHeight="1">
      <c r="A116" s="29" t="n">
        <v>3</v>
      </c>
      <c r="B116" s="30" t="n"/>
      <c r="C116" s="30" t="n"/>
      <c r="D116" s="31" t="n"/>
      <c r="E116" s="33" t="n"/>
      <c r="F116" s="33" t="n"/>
      <c r="G116" s="33" t="n"/>
      <c r="H116" s="34">
        <f>IF(OR(I116="G",I116="D"),0,IF(AND(E116="",F116=""),0,MAX(0,IFERROR(E116+0,0)+IFERROR(F116+0,0)-IFERROR(G116+0,0))))</f>
        <v/>
      </c>
      <c r="I116" s="35" t="n"/>
      <c r="J116" s="37">
        <f>IF(OR(B116="",H116=0),"-",RANK.EQ(H116,$H$114:$H$121,0))</f>
        <v/>
      </c>
    </row>
    <row r="117" ht="18" customHeight="1">
      <c r="A117" s="57" t="n">
        <v>4</v>
      </c>
      <c r="B117" s="58" t="n"/>
      <c r="C117" s="58" t="n"/>
      <c r="D117" s="59" t="n"/>
      <c r="E117" s="60" t="n"/>
      <c r="F117" s="60" t="n"/>
      <c r="G117" s="60" t="n"/>
      <c r="H117" s="34">
        <f>IF(OR(I117="G",I117="D"),0,IF(AND(E117="",F117=""),0,MAX(0,IFERROR(E117+0,0)+IFERROR(F117+0,0)-IFERROR(G117+0,0))))</f>
        <v/>
      </c>
      <c r="I117" s="61" t="n"/>
      <c r="J117" s="37">
        <f>IF(OR(B117="",H117=0),"-",RANK.EQ(H117,$H$114:$H$121,0))</f>
        <v/>
      </c>
    </row>
    <row r="118" ht="18" customHeight="1">
      <c r="A118" s="29" t="n">
        <v>5</v>
      </c>
      <c r="B118" s="30" t="n"/>
      <c r="C118" s="30" t="n"/>
      <c r="D118" s="31" t="n"/>
      <c r="E118" s="33" t="n"/>
      <c r="F118" s="33" t="n"/>
      <c r="G118" s="33" t="n"/>
      <c r="H118" s="34">
        <f>IF(OR(I118="G",I118="D"),0,IF(AND(E118="",F118=""),0,MAX(0,IFERROR(E118+0,0)+IFERROR(F118+0,0)-IFERROR(G118+0,0))))</f>
        <v/>
      </c>
      <c r="I118" s="35" t="n"/>
      <c r="J118" s="37">
        <f>IF(OR(B118="",H118=0),"-",RANK.EQ(H118,$H$114:$H$121,0))</f>
        <v/>
      </c>
    </row>
    <row r="119" ht="18" customHeight="1">
      <c r="A119" s="57" t="n">
        <v>6</v>
      </c>
      <c r="B119" s="58" t="n"/>
      <c r="C119" s="58" t="n"/>
      <c r="D119" s="59" t="n"/>
      <c r="E119" s="60" t="n"/>
      <c r="F119" s="60" t="n"/>
      <c r="G119" s="60" t="n"/>
      <c r="H119" s="34">
        <f>IF(OR(I119="G",I119="D"),0,IF(AND(E119="",F119=""),0,MAX(0,IFERROR(E119+0,0)+IFERROR(F119+0,0)-IFERROR(G119+0,0))))</f>
        <v/>
      </c>
      <c r="I119" s="61" t="n"/>
      <c r="J119" s="37">
        <f>IF(OR(B119="",H119=0),"-",RANK.EQ(H119,$H$114:$H$121,0))</f>
        <v/>
      </c>
    </row>
    <row r="120" ht="18" customHeight="1">
      <c r="A120" s="29" t="n">
        <v>7</v>
      </c>
      <c r="B120" s="30" t="n"/>
      <c r="C120" s="30" t="n"/>
      <c r="D120" s="31" t="n"/>
      <c r="E120" s="33" t="n"/>
      <c r="F120" s="33" t="n"/>
      <c r="G120" s="33" t="n"/>
      <c r="H120" s="34">
        <f>IF(OR(I120="G",I120="D"),0,IF(AND(E120="",F120=""),0,MAX(0,IFERROR(E120+0,0)+IFERROR(F120+0,0)-IFERROR(G120+0,0))))</f>
        <v/>
      </c>
      <c r="I120" s="35" t="n"/>
      <c r="J120" s="37">
        <f>IF(OR(B120="",H120=0),"-",RANK.EQ(H120,$H$114:$H$121,0))</f>
        <v/>
      </c>
    </row>
    <row r="121" ht="18" customHeight="1">
      <c r="A121" s="57" t="n">
        <v>8</v>
      </c>
      <c r="B121" s="58" t="n"/>
      <c r="C121" s="58" t="n"/>
      <c r="D121" s="59" t="n"/>
      <c r="E121" s="60" t="n"/>
      <c r="F121" s="60" t="n"/>
      <c r="G121" s="60" t="n"/>
      <c r="H121" s="34">
        <f>IF(OR(I121="G",I121="D"),0,IF(AND(E121="",F121=""),0,MAX(0,IFERROR(E121+0,0)+IFERROR(F121+0,0)-IFERROR(G121+0,0))))</f>
        <v/>
      </c>
      <c r="I121" s="61" t="n"/>
      <c r="J121" s="37">
        <f>IF(OR(B121="",H121=0),"-",RANK.EQ(H121,$H$114:$H$121,0))</f>
        <v/>
      </c>
    </row>
    <row r="124" ht="26" customHeight="1">
      <c r="A124" s="56" t="inlineStr">
        <is>
          <t>DENGE (BB)  —  KÜÇÜK KIZLAR</t>
        </is>
      </c>
    </row>
    <row r="125" ht="26" customHeight="1">
      <c r="A125" s="27" t="inlineStr">
        <is>
          <t>Eleme
Sırası</t>
        </is>
      </c>
      <c r="B125" s="27" t="inlineStr">
        <is>
          <t>Ad</t>
        </is>
      </c>
      <c r="C125" s="27" t="inlineStr">
        <is>
          <t>Soyad</t>
        </is>
      </c>
      <c r="D125" s="27" t="inlineStr">
        <is>
          <t>Okul / Kulüp</t>
        </is>
      </c>
      <c r="E125" s="27" t="inlineStr">
        <is>
          <t>D</t>
        </is>
      </c>
      <c r="F125" s="27" t="inlineStr">
        <is>
          <t>E</t>
        </is>
      </c>
      <c r="G125" s="27" t="inlineStr">
        <is>
          <t>ND</t>
        </is>
      </c>
      <c r="H125" s="27" t="inlineStr">
        <is>
          <t>FİNAL</t>
        </is>
      </c>
      <c r="I125" s="27" t="inlineStr">
        <is>
          <t>Dur</t>
        </is>
      </c>
      <c r="J125" s="27" t="inlineStr">
        <is>
          <t>FİN.SIRA</t>
        </is>
      </c>
    </row>
    <row r="126" ht="18" customHeight="1">
      <c r="A126" s="29" t="n">
        <v>1</v>
      </c>
      <c r="B126" s="30" t="n"/>
      <c r="C126" s="30" t="n"/>
      <c r="D126" s="31" t="n"/>
      <c r="E126" s="33" t="n"/>
      <c r="F126" s="33" t="n"/>
      <c r="G126" s="33" t="n"/>
      <c r="H126" s="34">
        <f>IF(OR(I126="G",I126="D"),0,IF(AND(E126="",F126=""),0,MAX(0,IFERROR(E126+0,0)+IFERROR(F126+0,0)-IFERROR(G126+0,0))))</f>
        <v/>
      </c>
      <c r="I126" s="35" t="n"/>
      <c r="J126" s="37">
        <f>IF(OR(B126="",H126=0),"-",RANK.EQ(H126,$H$126:$H$133,0))</f>
        <v/>
      </c>
    </row>
    <row r="127" ht="18" customHeight="1">
      <c r="A127" s="57" t="n">
        <v>2</v>
      </c>
      <c r="B127" s="58" t="n"/>
      <c r="C127" s="58" t="n"/>
      <c r="D127" s="59" t="n"/>
      <c r="E127" s="60" t="n"/>
      <c r="F127" s="60" t="n"/>
      <c r="G127" s="60" t="n"/>
      <c r="H127" s="34">
        <f>IF(OR(I127="G",I127="D"),0,IF(AND(E127="",F127=""),0,MAX(0,IFERROR(E127+0,0)+IFERROR(F127+0,0)-IFERROR(G127+0,0))))</f>
        <v/>
      </c>
      <c r="I127" s="61" t="n"/>
      <c r="J127" s="37">
        <f>IF(OR(B127="",H127=0),"-",RANK.EQ(H127,$H$126:$H$133,0))</f>
        <v/>
      </c>
    </row>
    <row r="128" ht="18" customHeight="1">
      <c r="A128" s="29" t="n">
        <v>3</v>
      </c>
      <c r="B128" s="30" t="n"/>
      <c r="C128" s="30" t="n"/>
      <c r="D128" s="31" t="n"/>
      <c r="E128" s="33" t="n"/>
      <c r="F128" s="33" t="n"/>
      <c r="G128" s="33" t="n"/>
      <c r="H128" s="34">
        <f>IF(OR(I128="G",I128="D"),0,IF(AND(E128="",F128=""),0,MAX(0,IFERROR(E128+0,0)+IFERROR(F128+0,0)-IFERROR(G128+0,0))))</f>
        <v/>
      </c>
      <c r="I128" s="35" t="n"/>
      <c r="J128" s="37">
        <f>IF(OR(B128="",H128=0),"-",RANK.EQ(H128,$H$126:$H$133,0))</f>
        <v/>
      </c>
    </row>
    <row r="129" ht="18" customHeight="1">
      <c r="A129" s="57" t="n">
        <v>4</v>
      </c>
      <c r="B129" s="58" t="n"/>
      <c r="C129" s="58" t="n"/>
      <c r="D129" s="59" t="n"/>
      <c r="E129" s="60" t="n"/>
      <c r="F129" s="60" t="n"/>
      <c r="G129" s="60" t="n"/>
      <c r="H129" s="34">
        <f>IF(OR(I129="G",I129="D"),0,IF(AND(E129="",F129=""),0,MAX(0,IFERROR(E129+0,0)+IFERROR(F129+0,0)-IFERROR(G129+0,0))))</f>
        <v/>
      </c>
      <c r="I129" s="61" t="n"/>
      <c r="J129" s="37">
        <f>IF(OR(B129="",H129=0),"-",RANK.EQ(H129,$H$126:$H$133,0))</f>
        <v/>
      </c>
    </row>
    <row r="130" ht="18" customHeight="1">
      <c r="A130" s="29" t="n">
        <v>5</v>
      </c>
      <c r="B130" s="30" t="n"/>
      <c r="C130" s="30" t="n"/>
      <c r="D130" s="31" t="n"/>
      <c r="E130" s="33" t="n"/>
      <c r="F130" s="33" t="n"/>
      <c r="G130" s="33" t="n"/>
      <c r="H130" s="34">
        <f>IF(OR(I130="G",I130="D"),0,IF(AND(E130="",F130=""),0,MAX(0,IFERROR(E130+0,0)+IFERROR(F130+0,0)-IFERROR(G130+0,0))))</f>
        <v/>
      </c>
      <c r="I130" s="35" t="n"/>
      <c r="J130" s="37">
        <f>IF(OR(B130="",H130=0),"-",RANK.EQ(H130,$H$126:$H$133,0))</f>
        <v/>
      </c>
    </row>
    <row r="131" ht="18" customHeight="1">
      <c r="A131" s="57" t="n">
        <v>6</v>
      </c>
      <c r="B131" s="58" t="n"/>
      <c r="C131" s="58" t="n"/>
      <c r="D131" s="59" t="n"/>
      <c r="E131" s="60" t="n"/>
      <c r="F131" s="60" t="n"/>
      <c r="G131" s="60" t="n"/>
      <c r="H131" s="34">
        <f>IF(OR(I131="G",I131="D"),0,IF(AND(E131="",F131=""),0,MAX(0,IFERROR(E131+0,0)+IFERROR(F131+0,0)-IFERROR(G131+0,0))))</f>
        <v/>
      </c>
      <c r="I131" s="61" t="n"/>
      <c r="J131" s="37">
        <f>IF(OR(B131="",H131=0),"-",RANK.EQ(H131,$H$126:$H$133,0))</f>
        <v/>
      </c>
    </row>
    <row r="132" ht="18" customHeight="1">
      <c r="A132" s="29" t="n">
        <v>7</v>
      </c>
      <c r="B132" s="30" t="n"/>
      <c r="C132" s="30" t="n"/>
      <c r="D132" s="31" t="n"/>
      <c r="E132" s="33" t="n"/>
      <c r="F132" s="33" t="n"/>
      <c r="G132" s="33" t="n"/>
      <c r="H132" s="34">
        <f>IF(OR(I132="G",I132="D"),0,IF(AND(E132="",F132=""),0,MAX(0,IFERROR(E132+0,0)+IFERROR(F132+0,0)-IFERROR(G132+0,0))))</f>
        <v/>
      </c>
      <c r="I132" s="35" t="n"/>
      <c r="J132" s="37">
        <f>IF(OR(B132="",H132=0),"-",RANK.EQ(H132,$H$126:$H$133,0))</f>
        <v/>
      </c>
    </row>
    <row r="133" ht="18" customHeight="1">
      <c r="A133" s="57" t="n">
        <v>8</v>
      </c>
      <c r="B133" s="58" t="n"/>
      <c r="C133" s="58" t="n"/>
      <c r="D133" s="59" t="n"/>
      <c r="E133" s="60" t="n"/>
      <c r="F133" s="60" t="n"/>
      <c r="G133" s="60" t="n"/>
      <c r="H133" s="34">
        <f>IF(OR(I133="G",I133="D"),0,IF(AND(E133="",F133=""),0,MAX(0,IFERROR(E133+0,0)+IFERROR(F133+0,0)-IFERROR(G133+0,0))))</f>
        <v/>
      </c>
      <c r="I133" s="61" t="n"/>
      <c r="J133" s="37">
        <f>IF(OR(B133="",H133=0),"-",RANK.EQ(H133,$H$126:$H$133,0))</f>
        <v/>
      </c>
    </row>
    <row r="136" ht="26" customHeight="1">
      <c r="A136" s="56" t="inlineStr">
        <is>
          <t>SERBEST (FX)  —  KÜÇÜK KIZLAR</t>
        </is>
      </c>
    </row>
    <row r="137" ht="26" customHeight="1">
      <c r="A137" s="27" t="inlineStr">
        <is>
          <t>Eleme
Sırası</t>
        </is>
      </c>
      <c r="B137" s="27" t="inlineStr">
        <is>
          <t>Ad</t>
        </is>
      </c>
      <c r="C137" s="27" t="inlineStr">
        <is>
          <t>Soyad</t>
        </is>
      </c>
      <c r="D137" s="27" t="inlineStr">
        <is>
          <t>Okul / Kulüp</t>
        </is>
      </c>
      <c r="E137" s="27" t="inlineStr">
        <is>
          <t>D</t>
        </is>
      </c>
      <c r="F137" s="27" t="inlineStr">
        <is>
          <t>E</t>
        </is>
      </c>
      <c r="G137" s="27" t="inlineStr">
        <is>
          <t>ND</t>
        </is>
      </c>
      <c r="H137" s="27" t="inlineStr">
        <is>
          <t>FİNAL</t>
        </is>
      </c>
      <c r="I137" s="27" t="inlineStr">
        <is>
          <t>Dur</t>
        </is>
      </c>
      <c r="J137" s="27" t="inlineStr">
        <is>
          <t>FİN.SIRA</t>
        </is>
      </c>
    </row>
    <row r="138" ht="18" customHeight="1">
      <c r="A138" s="29" t="n">
        <v>1</v>
      </c>
      <c r="B138" s="30" t="n"/>
      <c r="C138" s="30" t="n"/>
      <c r="D138" s="31" t="n"/>
      <c r="E138" s="33" t="n"/>
      <c r="F138" s="33" t="n"/>
      <c r="G138" s="33" t="n"/>
      <c r="H138" s="34">
        <f>IF(OR(I138="G",I138="D"),0,IF(AND(E138="",F138=""),0,MAX(0,IFERROR(E138+0,0)+IFERROR(F138+0,0)-IFERROR(G138+0,0))))</f>
        <v/>
      </c>
      <c r="I138" s="35" t="n"/>
      <c r="J138" s="37">
        <f>IF(OR(B138="",H138=0),"-",RANK.EQ(H138,$H$138:$H$145,0))</f>
        <v/>
      </c>
    </row>
    <row r="139" ht="18" customHeight="1">
      <c r="A139" s="57" t="n">
        <v>2</v>
      </c>
      <c r="B139" s="58" t="n"/>
      <c r="C139" s="58" t="n"/>
      <c r="D139" s="59" t="n"/>
      <c r="E139" s="60" t="n"/>
      <c r="F139" s="60" t="n"/>
      <c r="G139" s="60" t="n"/>
      <c r="H139" s="34">
        <f>IF(OR(I139="G",I139="D"),0,IF(AND(E139="",F139=""),0,MAX(0,IFERROR(E139+0,0)+IFERROR(F139+0,0)-IFERROR(G139+0,0))))</f>
        <v/>
      </c>
      <c r="I139" s="61" t="n"/>
      <c r="J139" s="37">
        <f>IF(OR(B139="",H139=0),"-",RANK.EQ(H139,$H$138:$H$145,0))</f>
        <v/>
      </c>
    </row>
    <row r="140" ht="18" customHeight="1">
      <c r="A140" s="29" t="n">
        <v>3</v>
      </c>
      <c r="B140" s="30" t="n"/>
      <c r="C140" s="30" t="n"/>
      <c r="D140" s="31" t="n"/>
      <c r="E140" s="33" t="n"/>
      <c r="F140" s="33" t="n"/>
      <c r="G140" s="33" t="n"/>
      <c r="H140" s="34">
        <f>IF(OR(I140="G",I140="D"),0,IF(AND(E140="",F140=""),0,MAX(0,IFERROR(E140+0,0)+IFERROR(F140+0,0)-IFERROR(G140+0,0))))</f>
        <v/>
      </c>
      <c r="I140" s="35" t="n"/>
      <c r="J140" s="37">
        <f>IF(OR(B140="",H140=0),"-",RANK.EQ(H140,$H$138:$H$145,0))</f>
        <v/>
      </c>
    </row>
    <row r="141" ht="18" customHeight="1">
      <c r="A141" s="57" t="n">
        <v>4</v>
      </c>
      <c r="B141" s="58" t="n"/>
      <c r="C141" s="58" t="n"/>
      <c r="D141" s="59" t="n"/>
      <c r="E141" s="60" t="n"/>
      <c r="F141" s="60" t="n"/>
      <c r="G141" s="60" t="n"/>
      <c r="H141" s="34">
        <f>IF(OR(I141="G",I141="D"),0,IF(AND(E141="",F141=""),0,MAX(0,IFERROR(E141+0,0)+IFERROR(F141+0,0)-IFERROR(G141+0,0))))</f>
        <v/>
      </c>
      <c r="I141" s="61" t="n"/>
      <c r="J141" s="37">
        <f>IF(OR(B141="",H141=0),"-",RANK.EQ(H141,$H$138:$H$145,0))</f>
        <v/>
      </c>
    </row>
    <row r="142" ht="18" customHeight="1">
      <c r="A142" s="29" t="n">
        <v>5</v>
      </c>
      <c r="B142" s="30" t="n"/>
      <c r="C142" s="30" t="n"/>
      <c r="D142" s="31" t="n"/>
      <c r="E142" s="33" t="n"/>
      <c r="F142" s="33" t="n"/>
      <c r="G142" s="33" t="n"/>
      <c r="H142" s="34">
        <f>IF(OR(I142="G",I142="D"),0,IF(AND(E142="",F142=""),0,MAX(0,IFERROR(E142+0,0)+IFERROR(F142+0,0)-IFERROR(G142+0,0))))</f>
        <v/>
      </c>
      <c r="I142" s="35" t="n"/>
      <c r="J142" s="37">
        <f>IF(OR(B142="",H142=0),"-",RANK.EQ(H142,$H$138:$H$145,0))</f>
        <v/>
      </c>
    </row>
    <row r="143" ht="18" customHeight="1">
      <c r="A143" s="57" t="n">
        <v>6</v>
      </c>
      <c r="B143" s="58" t="n"/>
      <c r="C143" s="58" t="n"/>
      <c r="D143" s="59" t="n"/>
      <c r="E143" s="60" t="n"/>
      <c r="F143" s="60" t="n"/>
      <c r="G143" s="60" t="n"/>
      <c r="H143" s="34">
        <f>IF(OR(I143="G",I143="D"),0,IF(AND(E143="",F143=""),0,MAX(0,IFERROR(E143+0,0)+IFERROR(F143+0,0)-IFERROR(G143+0,0))))</f>
        <v/>
      </c>
      <c r="I143" s="61" t="n"/>
      <c r="J143" s="37">
        <f>IF(OR(B143="",H143=0),"-",RANK.EQ(H143,$H$138:$H$145,0))</f>
        <v/>
      </c>
    </row>
    <row r="144" ht="18" customHeight="1">
      <c r="A144" s="29" t="n">
        <v>7</v>
      </c>
      <c r="B144" s="30" t="n"/>
      <c r="C144" s="30" t="n"/>
      <c r="D144" s="31" t="n"/>
      <c r="E144" s="33" t="n"/>
      <c r="F144" s="33" t="n"/>
      <c r="G144" s="33" t="n"/>
      <c r="H144" s="34">
        <f>IF(OR(I144="G",I144="D"),0,IF(AND(E144="",F144=""),0,MAX(0,IFERROR(E144+0,0)+IFERROR(F144+0,0)-IFERROR(G144+0,0))))</f>
        <v/>
      </c>
      <c r="I144" s="35" t="n"/>
      <c r="J144" s="37">
        <f>IF(OR(B144="",H144=0),"-",RANK.EQ(H144,$H$138:$H$145,0))</f>
        <v/>
      </c>
    </row>
    <row r="145" ht="18" customHeight="1">
      <c r="A145" s="57" t="n">
        <v>8</v>
      </c>
      <c r="B145" s="58" t="n"/>
      <c r="C145" s="58" t="n"/>
      <c r="D145" s="59" t="n"/>
      <c r="E145" s="60" t="n"/>
      <c r="F145" s="60" t="n"/>
      <c r="G145" s="60" t="n"/>
      <c r="H145" s="34">
        <f>IF(OR(I145="G",I145="D"),0,IF(AND(E145="",F145=""),0,MAX(0,IFERROR(E145+0,0)+IFERROR(F145+0,0)-IFERROR(G145+0,0))))</f>
        <v/>
      </c>
      <c r="I145" s="61" t="n"/>
      <c r="J145" s="37">
        <f>IF(OR(B145="",H145=0),"-",RANK.EQ(H145,$H$138:$H$145,0))</f>
        <v/>
      </c>
    </row>
    <row r="148" ht="26" customHeight="1">
      <c r="A148" s="56" t="inlineStr">
        <is>
          <t>YER (FX)  —  KÜÇÜK ERKEKLER</t>
        </is>
      </c>
    </row>
    <row r="149" ht="26" customHeight="1">
      <c r="A149" s="27" t="inlineStr">
        <is>
          <t>Eleme
Sırası</t>
        </is>
      </c>
      <c r="B149" s="27" t="inlineStr">
        <is>
          <t>Ad</t>
        </is>
      </c>
      <c r="C149" s="27" t="inlineStr">
        <is>
          <t>Soyad</t>
        </is>
      </c>
      <c r="D149" s="27" t="inlineStr">
        <is>
          <t>Okul / Kulüp</t>
        </is>
      </c>
      <c r="E149" s="27" t="inlineStr">
        <is>
          <t>D</t>
        </is>
      </c>
      <c r="F149" s="27" t="inlineStr">
        <is>
          <t>E</t>
        </is>
      </c>
      <c r="G149" s="27" t="inlineStr">
        <is>
          <t>ND</t>
        </is>
      </c>
      <c r="H149" s="27" t="inlineStr">
        <is>
          <t>FİNAL</t>
        </is>
      </c>
      <c r="I149" s="27" t="inlineStr">
        <is>
          <t>Dur</t>
        </is>
      </c>
      <c r="J149" s="27" t="inlineStr">
        <is>
          <t>FİN.SIRA</t>
        </is>
      </c>
    </row>
    <row r="150" ht="18" customHeight="1">
      <c r="A150" s="29" t="n">
        <v>1</v>
      </c>
      <c r="B150" s="30" t="n"/>
      <c r="C150" s="30" t="n"/>
      <c r="D150" s="31" t="n"/>
      <c r="E150" s="33" t="n"/>
      <c r="F150" s="33" t="n"/>
      <c r="G150" s="33" t="n"/>
      <c r="H150" s="34">
        <f>IF(OR(I150="G",I150="D"),0,IF(AND(E150="",F150=""),0,MAX(0,IFERROR(E150+0,0)+IFERROR(F150+0,0)-IFERROR(G150+0,0))))</f>
        <v/>
      </c>
      <c r="I150" s="35" t="n"/>
      <c r="J150" s="37">
        <f>IF(OR(B150="",H150=0),"-",RANK.EQ(H150,$H$150:$H$157,0))</f>
        <v/>
      </c>
    </row>
    <row r="151" ht="18" customHeight="1">
      <c r="A151" s="57" t="n">
        <v>2</v>
      </c>
      <c r="B151" s="58" t="n"/>
      <c r="C151" s="58" t="n"/>
      <c r="D151" s="59" t="n"/>
      <c r="E151" s="60" t="n"/>
      <c r="F151" s="60" t="n"/>
      <c r="G151" s="60" t="n"/>
      <c r="H151" s="34">
        <f>IF(OR(I151="G",I151="D"),0,IF(AND(E151="",F151=""),0,MAX(0,IFERROR(E151+0,0)+IFERROR(F151+0,0)-IFERROR(G151+0,0))))</f>
        <v/>
      </c>
      <c r="I151" s="61" t="n"/>
      <c r="J151" s="37">
        <f>IF(OR(B151="",H151=0),"-",RANK.EQ(H151,$H$150:$H$157,0))</f>
        <v/>
      </c>
    </row>
    <row r="152" ht="18" customHeight="1">
      <c r="A152" s="29" t="n">
        <v>3</v>
      </c>
      <c r="B152" s="30" t="n"/>
      <c r="C152" s="30" t="n"/>
      <c r="D152" s="31" t="n"/>
      <c r="E152" s="33" t="n"/>
      <c r="F152" s="33" t="n"/>
      <c r="G152" s="33" t="n"/>
      <c r="H152" s="34">
        <f>IF(OR(I152="G",I152="D"),0,IF(AND(E152="",F152=""),0,MAX(0,IFERROR(E152+0,0)+IFERROR(F152+0,0)-IFERROR(G152+0,0))))</f>
        <v/>
      </c>
      <c r="I152" s="35" t="n"/>
      <c r="J152" s="37">
        <f>IF(OR(B152="",H152=0),"-",RANK.EQ(H152,$H$150:$H$157,0))</f>
        <v/>
      </c>
    </row>
    <row r="153" ht="18" customHeight="1">
      <c r="A153" s="57" t="n">
        <v>4</v>
      </c>
      <c r="B153" s="58" t="n"/>
      <c r="C153" s="58" t="n"/>
      <c r="D153" s="59" t="n"/>
      <c r="E153" s="60" t="n"/>
      <c r="F153" s="60" t="n"/>
      <c r="G153" s="60" t="n"/>
      <c r="H153" s="34">
        <f>IF(OR(I153="G",I153="D"),0,IF(AND(E153="",F153=""),0,MAX(0,IFERROR(E153+0,0)+IFERROR(F153+0,0)-IFERROR(G153+0,0))))</f>
        <v/>
      </c>
      <c r="I153" s="61" t="n"/>
      <c r="J153" s="37">
        <f>IF(OR(B153="",H153=0),"-",RANK.EQ(H153,$H$150:$H$157,0))</f>
        <v/>
      </c>
    </row>
    <row r="154" ht="18" customHeight="1">
      <c r="A154" s="29" t="n">
        <v>5</v>
      </c>
      <c r="B154" s="30" t="n"/>
      <c r="C154" s="30" t="n"/>
      <c r="D154" s="31" t="n"/>
      <c r="E154" s="33" t="n"/>
      <c r="F154" s="33" t="n"/>
      <c r="G154" s="33" t="n"/>
      <c r="H154" s="34">
        <f>IF(OR(I154="G",I154="D"),0,IF(AND(E154="",F154=""),0,MAX(0,IFERROR(E154+0,0)+IFERROR(F154+0,0)-IFERROR(G154+0,0))))</f>
        <v/>
      </c>
      <c r="I154" s="35" t="n"/>
      <c r="J154" s="37">
        <f>IF(OR(B154="",H154=0),"-",RANK.EQ(H154,$H$150:$H$157,0))</f>
        <v/>
      </c>
    </row>
    <row r="155" ht="18" customHeight="1">
      <c r="A155" s="57" t="n">
        <v>6</v>
      </c>
      <c r="B155" s="58" t="n"/>
      <c r="C155" s="58" t="n"/>
      <c r="D155" s="59" t="n"/>
      <c r="E155" s="60" t="n"/>
      <c r="F155" s="60" t="n"/>
      <c r="G155" s="60" t="n"/>
      <c r="H155" s="34">
        <f>IF(OR(I155="G",I155="D"),0,IF(AND(E155="",F155=""),0,MAX(0,IFERROR(E155+0,0)+IFERROR(F155+0,0)-IFERROR(G155+0,0))))</f>
        <v/>
      </c>
      <c r="I155" s="61" t="n"/>
      <c r="J155" s="37">
        <f>IF(OR(B155="",H155=0),"-",RANK.EQ(H155,$H$150:$H$157,0))</f>
        <v/>
      </c>
    </row>
    <row r="156" ht="18" customHeight="1">
      <c r="A156" s="29" t="n">
        <v>7</v>
      </c>
      <c r="B156" s="30" t="n"/>
      <c r="C156" s="30" t="n"/>
      <c r="D156" s="31" t="n"/>
      <c r="E156" s="33" t="n"/>
      <c r="F156" s="33" t="n"/>
      <c r="G156" s="33" t="n"/>
      <c r="H156" s="34">
        <f>IF(OR(I156="G",I156="D"),0,IF(AND(E156="",F156=""),0,MAX(0,IFERROR(E156+0,0)+IFERROR(F156+0,0)-IFERROR(G156+0,0))))</f>
        <v/>
      </c>
      <c r="I156" s="35" t="n"/>
      <c r="J156" s="37">
        <f>IF(OR(B156="",H156=0),"-",RANK.EQ(H156,$H$150:$H$157,0))</f>
        <v/>
      </c>
    </row>
    <row r="157" ht="18" customHeight="1">
      <c r="A157" s="57" t="n">
        <v>8</v>
      </c>
      <c r="B157" s="58" t="n"/>
      <c r="C157" s="58" t="n"/>
      <c r="D157" s="59" t="n"/>
      <c r="E157" s="60" t="n"/>
      <c r="F157" s="60" t="n"/>
      <c r="G157" s="60" t="n"/>
      <c r="H157" s="34">
        <f>IF(OR(I157="G",I157="D"),0,IF(AND(E157="",F157=""),0,MAX(0,IFERROR(E157+0,0)+IFERROR(F157+0,0)-IFERROR(G157+0,0))))</f>
        <v/>
      </c>
      <c r="I157" s="61" t="n"/>
      <c r="J157" s="37">
        <f>IF(OR(B157="",H157=0),"-",RANK.EQ(H157,$H$150:$H$157,0))</f>
        <v/>
      </c>
    </row>
    <row r="160" ht="26" customHeight="1">
      <c r="A160" s="56" t="inlineStr">
        <is>
          <t>ATLAMA (VT)  —  KÜÇÜK ERKEKLER</t>
        </is>
      </c>
    </row>
    <row r="161" ht="26" customHeight="1">
      <c r="A161" s="27" t="inlineStr">
        <is>
          <t>Eleme
Sırası</t>
        </is>
      </c>
      <c r="B161" s="27" t="inlineStr">
        <is>
          <t>Ad</t>
        </is>
      </c>
      <c r="C161" s="27" t="inlineStr">
        <is>
          <t>Soyad</t>
        </is>
      </c>
      <c r="D161" s="27" t="inlineStr">
        <is>
          <t>Okul / Kulüp</t>
        </is>
      </c>
      <c r="E161" s="27" t="inlineStr">
        <is>
          <t>D</t>
        </is>
      </c>
      <c r="F161" s="27" t="inlineStr">
        <is>
          <t>E</t>
        </is>
      </c>
      <c r="G161" s="27" t="inlineStr">
        <is>
          <t>ND</t>
        </is>
      </c>
      <c r="H161" s="27" t="inlineStr">
        <is>
          <t>FİNAL</t>
        </is>
      </c>
      <c r="I161" s="27" t="inlineStr">
        <is>
          <t>Dur</t>
        </is>
      </c>
      <c r="J161" s="27" t="inlineStr">
        <is>
          <t>FİN.SIRA</t>
        </is>
      </c>
    </row>
    <row r="162" ht="18" customHeight="1">
      <c r="A162" s="29" t="n">
        <v>1</v>
      </c>
      <c r="B162" s="30" t="n"/>
      <c r="C162" s="30" t="n"/>
      <c r="D162" s="31" t="n"/>
      <c r="E162" s="33" t="n"/>
      <c r="F162" s="33" t="n"/>
      <c r="G162" s="33" t="n"/>
      <c r="H162" s="34">
        <f>IF(OR(I162="G",I162="D"),0,IF(AND(E162="",F162=""),0,MAX(0,IFERROR(E162+0,0)+IFERROR(F162+0,0)-IFERROR(G162+0,0))))</f>
        <v/>
      </c>
      <c r="I162" s="35" t="n"/>
      <c r="J162" s="37">
        <f>IF(OR(B162="",H162=0),"-",RANK.EQ(H162,$H$162:$H$169,0))</f>
        <v/>
      </c>
    </row>
    <row r="163" ht="18" customHeight="1">
      <c r="A163" s="57" t="n">
        <v>2</v>
      </c>
      <c r="B163" s="58" t="n"/>
      <c r="C163" s="58" t="n"/>
      <c r="D163" s="59" t="n"/>
      <c r="E163" s="60" t="n"/>
      <c r="F163" s="60" t="n"/>
      <c r="G163" s="60" t="n"/>
      <c r="H163" s="34">
        <f>IF(OR(I163="G",I163="D"),0,IF(AND(E163="",F163=""),0,MAX(0,IFERROR(E163+0,0)+IFERROR(F163+0,0)-IFERROR(G163+0,0))))</f>
        <v/>
      </c>
      <c r="I163" s="61" t="n"/>
      <c r="J163" s="37">
        <f>IF(OR(B163="",H163=0),"-",RANK.EQ(H163,$H$162:$H$169,0))</f>
        <v/>
      </c>
    </row>
    <row r="164" ht="18" customHeight="1">
      <c r="A164" s="29" t="n">
        <v>3</v>
      </c>
      <c r="B164" s="30" t="n"/>
      <c r="C164" s="30" t="n"/>
      <c r="D164" s="31" t="n"/>
      <c r="E164" s="33" t="n"/>
      <c r="F164" s="33" t="n"/>
      <c r="G164" s="33" t="n"/>
      <c r="H164" s="34">
        <f>IF(OR(I164="G",I164="D"),0,IF(AND(E164="",F164=""),0,MAX(0,IFERROR(E164+0,0)+IFERROR(F164+0,0)-IFERROR(G164+0,0))))</f>
        <v/>
      </c>
      <c r="I164" s="35" t="n"/>
      <c r="J164" s="37">
        <f>IF(OR(B164="",H164=0),"-",RANK.EQ(H164,$H$162:$H$169,0))</f>
        <v/>
      </c>
    </row>
    <row r="165" ht="18" customHeight="1">
      <c r="A165" s="57" t="n">
        <v>4</v>
      </c>
      <c r="B165" s="58" t="n"/>
      <c r="C165" s="58" t="n"/>
      <c r="D165" s="59" t="n"/>
      <c r="E165" s="60" t="n"/>
      <c r="F165" s="60" t="n"/>
      <c r="G165" s="60" t="n"/>
      <c r="H165" s="34">
        <f>IF(OR(I165="G",I165="D"),0,IF(AND(E165="",F165=""),0,MAX(0,IFERROR(E165+0,0)+IFERROR(F165+0,0)-IFERROR(G165+0,0))))</f>
        <v/>
      </c>
      <c r="I165" s="61" t="n"/>
      <c r="J165" s="37">
        <f>IF(OR(B165="",H165=0),"-",RANK.EQ(H165,$H$162:$H$169,0))</f>
        <v/>
      </c>
    </row>
    <row r="166" ht="18" customHeight="1">
      <c r="A166" s="29" t="n">
        <v>5</v>
      </c>
      <c r="B166" s="30" t="n"/>
      <c r="C166" s="30" t="n"/>
      <c r="D166" s="31" t="n"/>
      <c r="E166" s="33" t="n"/>
      <c r="F166" s="33" t="n"/>
      <c r="G166" s="33" t="n"/>
      <c r="H166" s="34">
        <f>IF(OR(I166="G",I166="D"),0,IF(AND(E166="",F166=""),0,MAX(0,IFERROR(E166+0,0)+IFERROR(F166+0,0)-IFERROR(G166+0,0))))</f>
        <v/>
      </c>
      <c r="I166" s="35" t="n"/>
      <c r="J166" s="37">
        <f>IF(OR(B166="",H166=0),"-",RANK.EQ(H166,$H$162:$H$169,0))</f>
        <v/>
      </c>
    </row>
    <row r="167" ht="18" customHeight="1">
      <c r="A167" s="57" t="n">
        <v>6</v>
      </c>
      <c r="B167" s="58" t="n"/>
      <c r="C167" s="58" t="n"/>
      <c r="D167" s="59" t="n"/>
      <c r="E167" s="60" t="n"/>
      <c r="F167" s="60" t="n"/>
      <c r="G167" s="60" t="n"/>
      <c r="H167" s="34">
        <f>IF(OR(I167="G",I167="D"),0,IF(AND(E167="",F167=""),0,MAX(0,IFERROR(E167+0,0)+IFERROR(F167+0,0)-IFERROR(G167+0,0))))</f>
        <v/>
      </c>
      <c r="I167" s="61" t="n"/>
      <c r="J167" s="37">
        <f>IF(OR(B167="",H167=0),"-",RANK.EQ(H167,$H$162:$H$169,0))</f>
        <v/>
      </c>
    </row>
    <row r="168" ht="18" customHeight="1">
      <c r="A168" s="29" t="n">
        <v>7</v>
      </c>
      <c r="B168" s="30" t="n"/>
      <c r="C168" s="30" t="n"/>
      <c r="D168" s="31" t="n"/>
      <c r="E168" s="33" t="n"/>
      <c r="F168" s="33" t="n"/>
      <c r="G168" s="33" t="n"/>
      <c r="H168" s="34">
        <f>IF(OR(I168="G",I168="D"),0,IF(AND(E168="",F168=""),0,MAX(0,IFERROR(E168+0,0)+IFERROR(F168+0,0)-IFERROR(G168+0,0))))</f>
        <v/>
      </c>
      <c r="I168" s="35" t="n"/>
      <c r="J168" s="37">
        <f>IF(OR(B168="",H168=0),"-",RANK.EQ(H168,$H$162:$H$169,0))</f>
        <v/>
      </c>
    </row>
    <row r="169" ht="18" customHeight="1">
      <c r="A169" s="57" t="n">
        <v>8</v>
      </c>
      <c r="B169" s="58" t="n"/>
      <c r="C169" s="58" t="n"/>
      <c r="D169" s="59" t="n"/>
      <c r="E169" s="60" t="n"/>
      <c r="F169" s="60" t="n"/>
      <c r="G169" s="60" t="n"/>
      <c r="H169" s="34">
        <f>IF(OR(I169="G",I169="D"),0,IF(AND(E169="",F169=""),0,MAX(0,IFERROR(E169+0,0)+IFERROR(F169+0,0)-IFERROR(G169+0,0))))</f>
        <v/>
      </c>
      <c r="I169" s="61" t="n"/>
      <c r="J169" s="37">
        <f>IF(OR(B169="",H169=0),"-",RANK.EQ(H169,$H$162:$H$169,0))</f>
        <v/>
      </c>
    </row>
    <row r="172" ht="26" customHeight="1">
      <c r="A172" s="56" t="inlineStr">
        <is>
          <t>PARALEL (PB)  —  KÜÇÜK ERKEKLER</t>
        </is>
      </c>
    </row>
    <row r="173" ht="26" customHeight="1">
      <c r="A173" s="27" t="inlineStr">
        <is>
          <t>Eleme
Sırası</t>
        </is>
      </c>
      <c r="B173" s="27" t="inlineStr">
        <is>
          <t>Ad</t>
        </is>
      </c>
      <c r="C173" s="27" t="inlineStr">
        <is>
          <t>Soyad</t>
        </is>
      </c>
      <c r="D173" s="27" t="inlineStr">
        <is>
          <t>Okul / Kulüp</t>
        </is>
      </c>
      <c r="E173" s="27" t="inlineStr">
        <is>
          <t>D</t>
        </is>
      </c>
      <c r="F173" s="27" t="inlineStr">
        <is>
          <t>E</t>
        </is>
      </c>
      <c r="G173" s="27" t="inlineStr">
        <is>
          <t>ND</t>
        </is>
      </c>
      <c r="H173" s="27" t="inlineStr">
        <is>
          <t>FİNAL</t>
        </is>
      </c>
      <c r="I173" s="27" t="inlineStr">
        <is>
          <t>Dur</t>
        </is>
      </c>
      <c r="J173" s="27" t="inlineStr">
        <is>
          <t>FİN.SIRA</t>
        </is>
      </c>
    </row>
    <row r="174" ht="18" customHeight="1">
      <c r="A174" s="29" t="n">
        <v>1</v>
      </c>
      <c r="B174" s="30" t="n"/>
      <c r="C174" s="30" t="n"/>
      <c r="D174" s="31" t="n"/>
      <c r="E174" s="33" t="n"/>
      <c r="F174" s="33" t="n"/>
      <c r="G174" s="33" t="n"/>
      <c r="H174" s="34">
        <f>IF(OR(I174="G",I174="D"),0,IF(AND(E174="",F174=""),0,MAX(0,IFERROR(E174+0,0)+IFERROR(F174+0,0)-IFERROR(G174+0,0))))</f>
        <v/>
      </c>
      <c r="I174" s="35" t="n"/>
      <c r="J174" s="37">
        <f>IF(OR(B174="",H174=0),"-",RANK.EQ(H174,$H$174:$H$181,0))</f>
        <v/>
      </c>
    </row>
    <row r="175" ht="18" customHeight="1">
      <c r="A175" s="57" t="n">
        <v>2</v>
      </c>
      <c r="B175" s="58" t="n"/>
      <c r="C175" s="58" t="n"/>
      <c r="D175" s="59" t="n"/>
      <c r="E175" s="60" t="n"/>
      <c r="F175" s="60" t="n"/>
      <c r="G175" s="60" t="n"/>
      <c r="H175" s="34">
        <f>IF(OR(I175="G",I175="D"),0,IF(AND(E175="",F175=""),0,MAX(0,IFERROR(E175+0,0)+IFERROR(F175+0,0)-IFERROR(G175+0,0))))</f>
        <v/>
      </c>
      <c r="I175" s="61" t="n"/>
      <c r="J175" s="37">
        <f>IF(OR(B175="",H175=0),"-",RANK.EQ(H175,$H$174:$H$181,0))</f>
        <v/>
      </c>
    </row>
    <row r="176" ht="18" customHeight="1">
      <c r="A176" s="29" t="n">
        <v>3</v>
      </c>
      <c r="B176" s="30" t="n"/>
      <c r="C176" s="30" t="n"/>
      <c r="D176" s="31" t="n"/>
      <c r="E176" s="33" t="n"/>
      <c r="F176" s="33" t="n"/>
      <c r="G176" s="33" t="n"/>
      <c r="H176" s="34">
        <f>IF(OR(I176="G",I176="D"),0,IF(AND(E176="",F176=""),0,MAX(0,IFERROR(E176+0,0)+IFERROR(F176+0,0)-IFERROR(G176+0,0))))</f>
        <v/>
      </c>
      <c r="I176" s="35" t="n"/>
      <c r="J176" s="37">
        <f>IF(OR(B176="",H176=0),"-",RANK.EQ(H176,$H$174:$H$181,0))</f>
        <v/>
      </c>
    </row>
    <row r="177" ht="18" customHeight="1">
      <c r="A177" s="57" t="n">
        <v>4</v>
      </c>
      <c r="B177" s="58" t="n"/>
      <c r="C177" s="58" t="n"/>
      <c r="D177" s="59" t="n"/>
      <c r="E177" s="60" t="n"/>
      <c r="F177" s="60" t="n"/>
      <c r="G177" s="60" t="n"/>
      <c r="H177" s="34">
        <f>IF(OR(I177="G",I177="D"),0,IF(AND(E177="",F177=""),0,MAX(0,IFERROR(E177+0,0)+IFERROR(F177+0,0)-IFERROR(G177+0,0))))</f>
        <v/>
      </c>
      <c r="I177" s="61" t="n"/>
      <c r="J177" s="37">
        <f>IF(OR(B177="",H177=0),"-",RANK.EQ(H177,$H$174:$H$181,0))</f>
        <v/>
      </c>
    </row>
    <row r="178" ht="18" customHeight="1">
      <c r="A178" s="29" t="n">
        <v>5</v>
      </c>
      <c r="B178" s="30" t="n"/>
      <c r="C178" s="30" t="n"/>
      <c r="D178" s="31" t="n"/>
      <c r="E178" s="33" t="n"/>
      <c r="F178" s="33" t="n"/>
      <c r="G178" s="33" t="n"/>
      <c r="H178" s="34">
        <f>IF(OR(I178="G",I178="D"),0,IF(AND(E178="",F178=""),0,MAX(0,IFERROR(E178+0,0)+IFERROR(F178+0,0)-IFERROR(G178+0,0))))</f>
        <v/>
      </c>
      <c r="I178" s="35" t="n"/>
      <c r="J178" s="37">
        <f>IF(OR(B178="",H178=0),"-",RANK.EQ(H178,$H$174:$H$181,0))</f>
        <v/>
      </c>
    </row>
    <row r="179" ht="18" customHeight="1">
      <c r="A179" s="57" t="n">
        <v>6</v>
      </c>
      <c r="B179" s="58" t="n"/>
      <c r="C179" s="58" t="n"/>
      <c r="D179" s="59" t="n"/>
      <c r="E179" s="60" t="n"/>
      <c r="F179" s="60" t="n"/>
      <c r="G179" s="60" t="n"/>
      <c r="H179" s="34">
        <f>IF(OR(I179="G",I179="D"),0,IF(AND(E179="",F179=""),0,MAX(0,IFERROR(E179+0,0)+IFERROR(F179+0,0)-IFERROR(G179+0,0))))</f>
        <v/>
      </c>
      <c r="I179" s="61" t="n"/>
      <c r="J179" s="37">
        <f>IF(OR(B179="",H179=0),"-",RANK.EQ(H179,$H$174:$H$181,0))</f>
        <v/>
      </c>
    </row>
    <row r="180" ht="18" customHeight="1">
      <c r="A180" s="29" t="n">
        <v>7</v>
      </c>
      <c r="B180" s="30" t="n"/>
      <c r="C180" s="30" t="n"/>
      <c r="D180" s="31" t="n"/>
      <c r="E180" s="33" t="n"/>
      <c r="F180" s="33" t="n"/>
      <c r="G180" s="33" t="n"/>
      <c r="H180" s="34">
        <f>IF(OR(I180="G",I180="D"),0,IF(AND(E180="",F180=""),0,MAX(0,IFERROR(E180+0,0)+IFERROR(F180+0,0)-IFERROR(G180+0,0))))</f>
        <v/>
      </c>
      <c r="I180" s="35" t="n"/>
      <c r="J180" s="37">
        <f>IF(OR(B180="",H180=0),"-",RANK.EQ(H180,$H$174:$H$181,0))</f>
        <v/>
      </c>
    </row>
    <row r="181" ht="18" customHeight="1">
      <c r="A181" s="57" t="n">
        <v>8</v>
      </c>
      <c r="B181" s="58" t="n"/>
      <c r="C181" s="58" t="n"/>
      <c r="D181" s="59" t="n"/>
      <c r="E181" s="60" t="n"/>
      <c r="F181" s="60" t="n"/>
      <c r="G181" s="60" t="n"/>
      <c r="H181" s="34">
        <f>IF(OR(I181="G",I181="D"),0,IF(AND(E181="",F181=""),0,MAX(0,IFERROR(E181+0,0)+IFERROR(F181+0,0)-IFERROR(G181+0,0))))</f>
        <v/>
      </c>
      <c r="I181" s="61" t="n"/>
      <c r="J181" s="37">
        <f>IF(OR(B181="",H181=0),"-",RANK.EQ(H181,$H$174:$H$181,0))</f>
        <v/>
      </c>
    </row>
    <row r="184" ht="26" customHeight="1">
      <c r="A184" s="56" t="inlineStr">
        <is>
          <t>BARFIKS (HB)  —  KÜÇÜK ERKEKLER</t>
        </is>
      </c>
    </row>
    <row r="185" ht="26" customHeight="1">
      <c r="A185" s="27" t="inlineStr">
        <is>
          <t>Eleme
Sırası</t>
        </is>
      </c>
      <c r="B185" s="27" t="inlineStr">
        <is>
          <t>Ad</t>
        </is>
      </c>
      <c r="C185" s="27" t="inlineStr">
        <is>
          <t>Soyad</t>
        </is>
      </c>
      <c r="D185" s="27" t="inlineStr">
        <is>
          <t>Okul / Kulüp</t>
        </is>
      </c>
      <c r="E185" s="27" t="inlineStr">
        <is>
          <t>D</t>
        </is>
      </c>
      <c r="F185" s="27" t="inlineStr">
        <is>
          <t>E</t>
        </is>
      </c>
      <c r="G185" s="27" t="inlineStr">
        <is>
          <t>ND</t>
        </is>
      </c>
      <c r="H185" s="27" t="inlineStr">
        <is>
          <t>FİNAL</t>
        </is>
      </c>
      <c r="I185" s="27" t="inlineStr">
        <is>
          <t>Dur</t>
        </is>
      </c>
      <c r="J185" s="27" t="inlineStr">
        <is>
          <t>FİN.SIRA</t>
        </is>
      </c>
    </row>
    <row r="186" ht="18" customHeight="1">
      <c r="A186" s="29" t="n">
        <v>1</v>
      </c>
      <c r="B186" s="30" t="n"/>
      <c r="C186" s="30" t="n"/>
      <c r="D186" s="31" t="n"/>
      <c r="E186" s="33" t="n"/>
      <c r="F186" s="33" t="n"/>
      <c r="G186" s="33" t="n"/>
      <c r="H186" s="34">
        <f>IF(OR(I186="G",I186="D"),0,IF(AND(E186="",F186=""),0,MAX(0,IFERROR(E186+0,0)+IFERROR(F186+0,0)-IFERROR(G186+0,0))))</f>
        <v/>
      </c>
      <c r="I186" s="35" t="n"/>
      <c r="J186" s="37">
        <f>IF(OR(B186="",H186=0),"-",RANK.EQ(H186,$H$186:$H$193,0))</f>
        <v/>
      </c>
    </row>
    <row r="187" ht="18" customHeight="1">
      <c r="A187" s="57" t="n">
        <v>2</v>
      </c>
      <c r="B187" s="58" t="n"/>
      <c r="C187" s="58" t="n"/>
      <c r="D187" s="59" t="n"/>
      <c r="E187" s="60" t="n"/>
      <c r="F187" s="60" t="n"/>
      <c r="G187" s="60" t="n"/>
      <c r="H187" s="34">
        <f>IF(OR(I187="G",I187="D"),0,IF(AND(E187="",F187=""),0,MAX(0,IFERROR(E187+0,0)+IFERROR(F187+0,0)-IFERROR(G187+0,0))))</f>
        <v/>
      </c>
      <c r="I187" s="61" t="n"/>
      <c r="J187" s="37">
        <f>IF(OR(B187="",H187=0),"-",RANK.EQ(H187,$H$186:$H$193,0))</f>
        <v/>
      </c>
    </row>
    <row r="188" ht="18" customHeight="1">
      <c r="A188" s="29" t="n">
        <v>3</v>
      </c>
      <c r="B188" s="30" t="n"/>
      <c r="C188" s="30" t="n"/>
      <c r="D188" s="31" t="n"/>
      <c r="E188" s="33" t="n"/>
      <c r="F188" s="33" t="n"/>
      <c r="G188" s="33" t="n"/>
      <c r="H188" s="34">
        <f>IF(OR(I188="G",I188="D"),0,IF(AND(E188="",F188=""),0,MAX(0,IFERROR(E188+0,0)+IFERROR(F188+0,0)-IFERROR(G188+0,0))))</f>
        <v/>
      </c>
      <c r="I188" s="35" t="n"/>
      <c r="J188" s="37">
        <f>IF(OR(B188="",H188=0),"-",RANK.EQ(H188,$H$186:$H$193,0))</f>
        <v/>
      </c>
    </row>
    <row r="189" ht="18" customHeight="1">
      <c r="A189" s="57" t="n">
        <v>4</v>
      </c>
      <c r="B189" s="58" t="n"/>
      <c r="C189" s="58" t="n"/>
      <c r="D189" s="59" t="n"/>
      <c r="E189" s="60" t="n"/>
      <c r="F189" s="60" t="n"/>
      <c r="G189" s="60" t="n"/>
      <c r="H189" s="34">
        <f>IF(OR(I189="G",I189="D"),0,IF(AND(E189="",F189=""),0,MAX(0,IFERROR(E189+0,0)+IFERROR(F189+0,0)-IFERROR(G189+0,0))))</f>
        <v/>
      </c>
      <c r="I189" s="61" t="n"/>
      <c r="J189" s="37">
        <f>IF(OR(B189="",H189=0),"-",RANK.EQ(H189,$H$186:$H$193,0))</f>
        <v/>
      </c>
    </row>
    <row r="190" ht="18" customHeight="1">
      <c r="A190" s="29" t="n">
        <v>5</v>
      </c>
      <c r="B190" s="30" t="n"/>
      <c r="C190" s="30" t="n"/>
      <c r="D190" s="31" t="n"/>
      <c r="E190" s="33" t="n"/>
      <c r="F190" s="33" t="n"/>
      <c r="G190" s="33" t="n"/>
      <c r="H190" s="34">
        <f>IF(OR(I190="G",I190="D"),0,IF(AND(E190="",F190=""),0,MAX(0,IFERROR(E190+0,0)+IFERROR(F190+0,0)-IFERROR(G190+0,0))))</f>
        <v/>
      </c>
      <c r="I190" s="35" t="n"/>
      <c r="J190" s="37">
        <f>IF(OR(B190="",H190=0),"-",RANK.EQ(H190,$H$186:$H$193,0))</f>
        <v/>
      </c>
    </row>
    <row r="191" ht="18" customHeight="1">
      <c r="A191" s="57" t="n">
        <v>6</v>
      </c>
      <c r="B191" s="58" t="n"/>
      <c r="C191" s="58" t="n"/>
      <c r="D191" s="59" t="n"/>
      <c r="E191" s="60" t="n"/>
      <c r="F191" s="60" t="n"/>
      <c r="G191" s="60" t="n"/>
      <c r="H191" s="34">
        <f>IF(OR(I191="G",I191="D"),0,IF(AND(E191="",F191=""),0,MAX(0,IFERROR(E191+0,0)+IFERROR(F191+0,0)-IFERROR(G191+0,0))))</f>
        <v/>
      </c>
      <c r="I191" s="61" t="n"/>
      <c r="J191" s="37">
        <f>IF(OR(B191="",H191=0),"-",RANK.EQ(H191,$H$186:$H$193,0))</f>
        <v/>
      </c>
    </row>
    <row r="192" ht="18" customHeight="1">
      <c r="A192" s="29" t="n">
        <v>7</v>
      </c>
      <c r="B192" s="30" t="n"/>
      <c r="C192" s="30" t="n"/>
      <c r="D192" s="31" t="n"/>
      <c r="E192" s="33" t="n"/>
      <c r="F192" s="33" t="n"/>
      <c r="G192" s="33" t="n"/>
      <c r="H192" s="34">
        <f>IF(OR(I192="G",I192="D"),0,IF(AND(E192="",F192=""),0,MAX(0,IFERROR(E192+0,0)+IFERROR(F192+0,0)-IFERROR(G192+0,0))))</f>
        <v/>
      </c>
      <c r="I192" s="35" t="n"/>
      <c r="J192" s="37">
        <f>IF(OR(B192="",H192=0),"-",RANK.EQ(H192,$H$186:$H$193,0))</f>
        <v/>
      </c>
    </row>
    <row r="193" ht="18" customHeight="1">
      <c r="A193" s="57" t="n">
        <v>8</v>
      </c>
      <c r="B193" s="58" t="n"/>
      <c r="C193" s="58" t="n"/>
      <c r="D193" s="59" t="n"/>
      <c r="E193" s="60" t="n"/>
      <c r="F193" s="60" t="n"/>
      <c r="G193" s="60" t="n"/>
      <c r="H193" s="34">
        <f>IF(OR(I193="G",I193="D"),0,IF(AND(E193="",F193=""),0,MAX(0,IFERROR(E193+0,0)+IFERROR(F193+0,0)-IFERROR(G193+0,0))))</f>
        <v/>
      </c>
      <c r="I193" s="61" t="n"/>
      <c r="J193" s="37">
        <f>IF(OR(B193="",H193=0),"-",RANK.EQ(H193,$H$186:$H$193,0))</f>
        <v/>
      </c>
    </row>
    <row r="196" ht="26" customHeight="1">
      <c r="A196" s="56" t="inlineStr">
        <is>
          <t>ATLAMA (VT)  —  YILDIZ KIZLAR</t>
        </is>
      </c>
    </row>
    <row r="197" ht="26" customHeight="1">
      <c r="A197" s="27" t="inlineStr">
        <is>
          <t>Eleme
Sırası</t>
        </is>
      </c>
      <c r="B197" s="27" t="inlineStr">
        <is>
          <t>Ad</t>
        </is>
      </c>
      <c r="C197" s="27" t="inlineStr">
        <is>
          <t>Soyad</t>
        </is>
      </c>
      <c r="D197" s="27" t="inlineStr">
        <is>
          <t>Okul / Kulüp</t>
        </is>
      </c>
      <c r="E197" s="27" t="inlineStr">
        <is>
          <t>D</t>
        </is>
      </c>
      <c r="F197" s="27" t="inlineStr">
        <is>
          <t>E</t>
        </is>
      </c>
      <c r="G197" s="27" t="inlineStr">
        <is>
          <t>ND</t>
        </is>
      </c>
      <c r="H197" s="27" t="inlineStr">
        <is>
          <t>FİNAL</t>
        </is>
      </c>
      <c r="I197" s="27" t="inlineStr">
        <is>
          <t>Dur</t>
        </is>
      </c>
      <c r="J197" s="27" t="inlineStr">
        <is>
          <t>FİN.SIRA</t>
        </is>
      </c>
    </row>
    <row r="198" ht="18" customHeight="1">
      <c r="A198" s="29" t="n">
        <v>1</v>
      </c>
      <c r="B198" s="30" t="n"/>
      <c r="C198" s="30" t="n"/>
      <c r="D198" s="31" t="n"/>
      <c r="E198" s="33" t="n"/>
      <c r="F198" s="33" t="n"/>
      <c r="G198" s="33" t="n"/>
      <c r="H198" s="34">
        <f>IF(OR(I198="G",I198="D"),0,IF(AND(E198="",F198=""),0,MAX(0,IFERROR(E198+0,0)+IFERROR(F198+0,0)-IFERROR(G198+0,0))))</f>
        <v/>
      </c>
      <c r="I198" s="35" t="n"/>
      <c r="J198" s="37">
        <f>IF(OR(B198="",H198=0),"-",RANK.EQ(H198,$H$198:$H$205,0))</f>
        <v/>
      </c>
    </row>
    <row r="199" ht="18" customHeight="1">
      <c r="A199" s="57" t="n">
        <v>2</v>
      </c>
      <c r="B199" s="58" t="n"/>
      <c r="C199" s="58" t="n"/>
      <c r="D199" s="59" t="n"/>
      <c r="E199" s="60" t="n"/>
      <c r="F199" s="60" t="n"/>
      <c r="G199" s="60" t="n"/>
      <c r="H199" s="34">
        <f>IF(OR(I199="G",I199="D"),0,IF(AND(E199="",F199=""),0,MAX(0,IFERROR(E199+0,0)+IFERROR(F199+0,0)-IFERROR(G199+0,0))))</f>
        <v/>
      </c>
      <c r="I199" s="61" t="n"/>
      <c r="J199" s="37">
        <f>IF(OR(B199="",H199=0),"-",RANK.EQ(H199,$H$198:$H$205,0))</f>
        <v/>
      </c>
    </row>
    <row r="200" ht="18" customHeight="1">
      <c r="A200" s="29" t="n">
        <v>3</v>
      </c>
      <c r="B200" s="30" t="n"/>
      <c r="C200" s="30" t="n"/>
      <c r="D200" s="31" t="n"/>
      <c r="E200" s="33" t="n"/>
      <c r="F200" s="33" t="n"/>
      <c r="G200" s="33" t="n"/>
      <c r="H200" s="34">
        <f>IF(OR(I200="G",I200="D"),0,IF(AND(E200="",F200=""),0,MAX(0,IFERROR(E200+0,0)+IFERROR(F200+0,0)-IFERROR(G200+0,0))))</f>
        <v/>
      </c>
      <c r="I200" s="35" t="n"/>
      <c r="J200" s="37">
        <f>IF(OR(B200="",H200=0),"-",RANK.EQ(H200,$H$198:$H$205,0))</f>
        <v/>
      </c>
    </row>
    <row r="201" ht="18" customHeight="1">
      <c r="A201" s="57" t="n">
        <v>4</v>
      </c>
      <c r="B201" s="58" t="n"/>
      <c r="C201" s="58" t="n"/>
      <c r="D201" s="59" t="n"/>
      <c r="E201" s="60" t="n"/>
      <c r="F201" s="60" t="n"/>
      <c r="G201" s="60" t="n"/>
      <c r="H201" s="34">
        <f>IF(OR(I201="G",I201="D"),0,IF(AND(E201="",F201=""),0,MAX(0,IFERROR(E201+0,0)+IFERROR(F201+0,0)-IFERROR(G201+0,0))))</f>
        <v/>
      </c>
      <c r="I201" s="61" t="n"/>
      <c r="J201" s="37">
        <f>IF(OR(B201="",H201=0),"-",RANK.EQ(H201,$H$198:$H$205,0))</f>
        <v/>
      </c>
    </row>
    <row r="202" ht="18" customHeight="1">
      <c r="A202" s="29" t="n">
        <v>5</v>
      </c>
      <c r="B202" s="30" t="n"/>
      <c r="C202" s="30" t="n"/>
      <c r="D202" s="31" t="n"/>
      <c r="E202" s="33" t="n"/>
      <c r="F202" s="33" t="n"/>
      <c r="G202" s="33" t="n"/>
      <c r="H202" s="34">
        <f>IF(OR(I202="G",I202="D"),0,IF(AND(E202="",F202=""),0,MAX(0,IFERROR(E202+0,0)+IFERROR(F202+0,0)-IFERROR(G202+0,0))))</f>
        <v/>
      </c>
      <c r="I202" s="35" t="n"/>
      <c r="J202" s="37">
        <f>IF(OR(B202="",H202=0),"-",RANK.EQ(H202,$H$198:$H$205,0))</f>
        <v/>
      </c>
    </row>
    <row r="203" ht="18" customHeight="1">
      <c r="A203" s="57" t="n">
        <v>6</v>
      </c>
      <c r="B203" s="58" t="n"/>
      <c r="C203" s="58" t="n"/>
      <c r="D203" s="59" t="n"/>
      <c r="E203" s="60" t="n"/>
      <c r="F203" s="60" t="n"/>
      <c r="G203" s="60" t="n"/>
      <c r="H203" s="34">
        <f>IF(OR(I203="G",I203="D"),0,IF(AND(E203="",F203=""),0,MAX(0,IFERROR(E203+0,0)+IFERROR(F203+0,0)-IFERROR(G203+0,0))))</f>
        <v/>
      </c>
      <c r="I203" s="61" t="n"/>
      <c r="J203" s="37">
        <f>IF(OR(B203="",H203=0),"-",RANK.EQ(H203,$H$198:$H$205,0))</f>
        <v/>
      </c>
    </row>
    <row r="204" ht="18" customHeight="1">
      <c r="A204" s="29" t="n">
        <v>7</v>
      </c>
      <c r="B204" s="30" t="n"/>
      <c r="C204" s="30" t="n"/>
      <c r="D204" s="31" t="n"/>
      <c r="E204" s="33" t="n"/>
      <c r="F204" s="33" t="n"/>
      <c r="G204" s="33" t="n"/>
      <c r="H204" s="34">
        <f>IF(OR(I204="G",I204="D"),0,IF(AND(E204="",F204=""),0,MAX(0,IFERROR(E204+0,0)+IFERROR(F204+0,0)-IFERROR(G204+0,0))))</f>
        <v/>
      </c>
      <c r="I204" s="35" t="n"/>
      <c r="J204" s="37">
        <f>IF(OR(B204="",H204=0),"-",RANK.EQ(H204,$H$198:$H$205,0))</f>
        <v/>
      </c>
    </row>
    <row r="205" ht="18" customHeight="1">
      <c r="A205" s="57" t="n">
        <v>8</v>
      </c>
      <c r="B205" s="58" t="n"/>
      <c r="C205" s="58" t="n"/>
      <c r="D205" s="59" t="n"/>
      <c r="E205" s="60" t="n"/>
      <c r="F205" s="60" t="n"/>
      <c r="G205" s="60" t="n"/>
      <c r="H205" s="34">
        <f>IF(OR(I205="G",I205="D"),0,IF(AND(E205="",F205=""),0,MAX(0,IFERROR(E205+0,0)+IFERROR(F205+0,0)-IFERROR(G205+0,0))))</f>
        <v/>
      </c>
      <c r="I205" s="61" t="n"/>
      <c r="J205" s="37">
        <f>IF(OR(B205="",H205=0),"-",RANK.EQ(H205,$H$198:$H$205,0))</f>
        <v/>
      </c>
    </row>
    <row r="208" ht="26" customHeight="1">
      <c r="A208" s="56" t="inlineStr">
        <is>
          <t>AS.PARALEL (UB)  —  YILDIZ KIZLAR</t>
        </is>
      </c>
    </row>
    <row r="209" ht="26" customHeight="1">
      <c r="A209" s="27" t="inlineStr">
        <is>
          <t>Eleme
Sırası</t>
        </is>
      </c>
      <c r="B209" s="27" t="inlineStr">
        <is>
          <t>Ad</t>
        </is>
      </c>
      <c r="C209" s="27" t="inlineStr">
        <is>
          <t>Soyad</t>
        </is>
      </c>
      <c r="D209" s="27" t="inlineStr">
        <is>
          <t>Okul / Kulüp</t>
        </is>
      </c>
      <c r="E209" s="27" t="inlineStr">
        <is>
          <t>D</t>
        </is>
      </c>
      <c r="F209" s="27" t="inlineStr">
        <is>
          <t>E</t>
        </is>
      </c>
      <c r="G209" s="27" t="inlineStr">
        <is>
          <t>ND</t>
        </is>
      </c>
      <c r="H209" s="27" t="inlineStr">
        <is>
          <t>FİNAL</t>
        </is>
      </c>
      <c r="I209" s="27" t="inlineStr">
        <is>
          <t>Dur</t>
        </is>
      </c>
      <c r="J209" s="27" t="inlineStr">
        <is>
          <t>FİN.SIRA</t>
        </is>
      </c>
    </row>
    <row r="210" ht="18" customHeight="1">
      <c r="A210" s="29" t="n">
        <v>1</v>
      </c>
      <c r="B210" s="30" t="n"/>
      <c r="C210" s="30" t="n"/>
      <c r="D210" s="31" t="n"/>
      <c r="E210" s="33" t="n"/>
      <c r="F210" s="33" t="n"/>
      <c r="G210" s="33" t="n"/>
      <c r="H210" s="34">
        <f>IF(OR(I210="G",I210="D"),0,IF(AND(E210="",F210=""),0,MAX(0,IFERROR(E210+0,0)+IFERROR(F210+0,0)-IFERROR(G210+0,0))))</f>
        <v/>
      </c>
      <c r="I210" s="35" t="n"/>
      <c r="J210" s="37">
        <f>IF(OR(B210="",H210=0),"-",RANK.EQ(H210,$H$210:$H$217,0))</f>
        <v/>
      </c>
    </row>
    <row r="211" ht="18" customHeight="1">
      <c r="A211" s="57" t="n">
        <v>2</v>
      </c>
      <c r="B211" s="58" t="n"/>
      <c r="C211" s="58" t="n"/>
      <c r="D211" s="59" t="n"/>
      <c r="E211" s="60" t="n"/>
      <c r="F211" s="60" t="n"/>
      <c r="G211" s="60" t="n"/>
      <c r="H211" s="34">
        <f>IF(OR(I211="G",I211="D"),0,IF(AND(E211="",F211=""),0,MAX(0,IFERROR(E211+0,0)+IFERROR(F211+0,0)-IFERROR(G211+0,0))))</f>
        <v/>
      </c>
      <c r="I211" s="61" t="n"/>
      <c r="J211" s="37">
        <f>IF(OR(B211="",H211=0),"-",RANK.EQ(H211,$H$210:$H$217,0))</f>
        <v/>
      </c>
    </row>
    <row r="212" ht="18" customHeight="1">
      <c r="A212" s="29" t="n">
        <v>3</v>
      </c>
      <c r="B212" s="30" t="n"/>
      <c r="C212" s="30" t="n"/>
      <c r="D212" s="31" t="n"/>
      <c r="E212" s="33" t="n"/>
      <c r="F212" s="33" t="n"/>
      <c r="G212" s="33" t="n"/>
      <c r="H212" s="34">
        <f>IF(OR(I212="G",I212="D"),0,IF(AND(E212="",F212=""),0,MAX(0,IFERROR(E212+0,0)+IFERROR(F212+0,0)-IFERROR(G212+0,0))))</f>
        <v/>
      </c>
      <c r="I212" s="35" t="n"/>
      <c r="J212" s="37">
        <f>IF(OR(B212="",H212=0),"-",RANK.EQ(H212,$H$210:$H$217,0))</f>
        <v/>
      </c>
    </row>
    <row r="213" ht="18" customHeight="1">
      <c r="A213" s="57" t="n">
        <v>4</v>
      </c>
      <c r="B213" s="58" t="n"/>
      <c r="C213" s="58" t="n"/>
      <c r="D213" s="59" t="n"/>
      <c r="E213" s="60" t="n"/>
      <c r="F213" s="60" t="n"/>
      <c r="G213" s="60" t="n"/>
      <c r="H213" s="34">
        <f>IF(OR(I213="G",I213="D"),0,IF(AND(E213="",F213=""),0,MAX(0,IFERROR(E213+0,0)+IFERROR(F213+0,0)-IFERROR(G213+0,0))))</f>
        <v/>
      </c>
      <c r="I213" s="61" t="n"/>
      <c r="J213" s="37">
        <f>IF(OR(B213="",H213=0),"-",RANK.EQ(H213,$H$210:$H$217,0))</f>
        <v/>
      </c>
    </row>
    <row r="214" ht="18" customHeight="1">
      <c r="A214" s="29" t="n">
        <v>5</v>
      </c>
      <c r="B214" s="30" t="n"/>
      <c r="C214" s="30" t="n"/>
      <c r="D214" s="31" t="n"/>
      <c r="E214" s="33" t="n"/>
      <c r="F214" s="33" t="n"/>
      <c r="G214" s="33" t="n"/>
      <c r="H214" s="34">
        <f>IF(OR(I214="G",I214="D"),0,IF(AND(E214="",F214=""),0,MAX(0,IFERROR(E214+0,0)+IFERROR(F214+0,0)-IFERROR(G214+0,0))))</f>
        <v/>
      </c>
      <c r="I214" s="35" t="n"/>
      <c r="J214" s="37">
        <f>IF(OR(B214="",H214=0),"-",RANK.EQ(H214,$H$210:$H$217,0))</f>
        <v/>
      </c>
    </row>
    <row r="215" ht="18" customHeight="1">
      <c r="A215" s="57" t="n">
        <v>6</v>
      </c>
      <c r="B215" s="58" t="n"/>
      <c r="C215" s="58" t="n"/>
      <c r="D215" s="59" t="n"/>
      <c r="E215" s="60" t="n"/>
      <c r="F215" s="60" t="n"/>
      <c r="G215" s="60" t="n"/>
      <c r="H215" s="34">
        <f>IF(OR(I215="G",I215="D"),0,IF(AND(E215="",F215=""),0,MAX(0,IFERROR(E215+0,0)+IFERROR(F215+0,0)-IFERROR(G215+0,0))))</f>
        <v/>
      </c>
      <c r="I215" s="61" t="n"/>
      <c r="J215" s="37">
        <f>IF(OR(B215="",H215=0),"-",RANK.EQ(H215,$H$210:$H$217,0))</f>
        <v/>
      </c>
    </row>
    <row r="216" ht="18" customHeight="1">
      <c r="A216" s="29" t="n">
        <v>7</v>
      </c>
      <c r="B216" s="30" t="n"/>
      <c r="C216" s="30" t="n"/>
      <c r="D216" s="31" t="n"/>
      <c r="E216" s="33" t="n"/>
      <c r="F216" s="33" t="n"/>
      <c r="G216" s="33" t="n"/>
      <c r="H216" s="34">
        <f>IF(OR(I216="G",I216="D"),0,IF(AND(E216="",F216=""),0,MAX(0,IFERROR(E216+0,0)+IFERROR(F216+0,0)-IFERROR(G216+0,0))))</f>
        <v/>
      </c>
      <c r="I216" s="35" t="n"/>
      <c r="J216" s="37">
        <f>IF(OR(B216="",H216=0),"-",RANK.EQ(H216,$H$210:$H$217,0))</f>
        <v/>
      </c>
    </row>
    <row r="217" ht="18" customHeight="1">
      <c r="A217" s="57" t="n">
        <v>8</v>
      </c>
      <c r="B217" s="58" t="n"/>
      <c r="C217" s="58" t="n"/>
      <c r="D217" s="59" t="n"/>
      <c r="E217" s="60" t="n"/>
      <c r="F217" s="60" t="n"/>
      <c r="G217" s="60" t="n"/>
      <c r="H217" s="34">
        <f>IF(OR(I217="G",I217="D"),0,IF(AND(E217="",F217=""),0,MAX(0,IFERROR(E217+0,0)+IFERROR(F217+0,0)-IFERROR(G217+0,0))))</f>
        <v/>
      </c>
      <c r="I217" s="61" t="n"/>
      <c r="J217" s="37">
        <f>IF(OR(B217="",H217=0),"-",RANK.EQ(H217,$H$210:$H$217,0))</f>
        <v/>
      </c>
    </row>
    <row r="220" ht="26" customHeight="1">
      <c r="A220" s="56" t="inlineStr">
        <is>
          <t>DENGE (BB)  —  YILDIZ KIZLAR</t>
        </is>
      </c>
    </row>
    <row r="221" ht="26" customHeight="1">
      <c r="A221" s="27" t="inlineStr">
        <is>
          <t>Eleme
Sırası</t>
        </is>
      </c>
      <c r="B221" s="27" t="inlineStr">
        <is>
          <t>Ad</t>
        </is>
      </c>
      <c r="C221" s="27" t="inlineStr">
        <is>
          <t>Soyad</t>
        </is>
      </c>
      <c r="D221" s="27" t="inlineStr">
        <is>
          <t>Okul / Kulüp</t>
        </is>
      </c>
      <c r="E221" s="27" t="inlineStr">
        <is>
          <t>D</t>
        </is>
      </c>
      <c r="F221" s="27" t="inlineStr">
        <is>
          <t>E</t>
        </is>
      </c>
      <c r="G221" s="27" t="inlineStr">
        <is>
          <t>ND</t>
        </is>
      </c>
      <c r="H221" s="27" t="inlineStr">
        <is>
          <t>FİNAL</t>
        </is>
      </c>
      <c r="I221" s="27" t="inlineStr">
        <is>
          <t>Dur</t>
        </is>
      </c>
      <c r="J221" s="27" t="inlineStr">
        <is>
          <t>FİN.SIRA</t>
        </is>
      </c>
    </row>
    <row r="222" ht="18" customHeight="1">
      <c r="A222" s="29" t="n">
        <v>1</v>
      </c>
      <c r="B222" s="30" t="n"/>
      <c r="C222" s="30" t="n"/>
      <c r="D222" s="31" t="n"/>
      <c r="E222" s="33" t="n"/>
      <c r="F222" s="33" t="n"/>
      <c r="G222" s="33" t="n"/>
      <c r="H222" s="34">
        <f>IF(OR(I222="G",I222="D"),0,IF(AND(E222="",F222=""),0,MAX(0,IFERROR(E222+0,0)+IFERROR(F222+0,0)-IFERROR(G222+0,0))))</f>
        <v/>
      </c>
      <c r="I222" s="35" t="n"/>
      <c r="J222" s="37">
        <f>IF(OR(B222="",H222=0),"-",RANK.EQ(H222,$H$222:$H$229,0))</f>
        <v/>
      </c>
    </row>
    <row r="223" ht="18" customHeight="1">
      <c r="A223" s="57" t="n">
        <v>2</v>
      </c>
      <c r="B223" s="58" t="n"/>
      <c r="C223" s="58" t="n"/>
      <c r="D223" s="59" t="n"/>
      <c r="E223" s="60" t="n"/>
      <c r="F223" s="60" t="n"/>
      <c r="G223" s="60" t="n"/>
      <c r="H223" s="34">
        <f>IF(OR(I223="G",I223="D"),0,IF(AND(E223="",F223=""),0,MAX(0,IFERROR(E223+0,0)+IFERROR(F223+0,0)-IFERROR(G223+0,0))))</f>
        <v/>
      </c>
      <c r="I223" s="61" t="n"/>
      <c r="J223" s="37">
        <f>IF(OR(B223="",H223=0),"-",RANK.EQ(H223,$H$222:$H$229,0))</f>
        <v/>
      </c>
    </row>
    <row r="224" ht="18" customHeight="1">
      <c r="A224" s="29" t="n">
        <v>3</v>
      </c>
      <c r="B224" s="30" t="n"/>
      <c r="C224" s="30" t="n"/>
      <c r="D224" s="31" t="n"/>
      <c r="E224" s="33" t="n"/>
      <c r="F224" s="33" t="n"/>
      <c r="G224" s="33" t="n"/>
      <c r="H224" s="34">
        <f>IF(OR(I224="G",I224="D"),0,IF(AND(E224="",F224=""),0,MAX(0,IFERROR(E224+0,0)+IFERROR(F224+0,0)-IFERROR(G224+0,0))))</f>
        <v/>
      </c>
      <c r="I224" s="35" t="n"/>
      <c r="J224" s="37">
        <f>IF(OR(B224="",H224=0),"-",RANK.EQ(H224,$H$222:$H$229,0))</f>
        <v/>
      </c>
    </row>
    <row r="225" ht="18" customHeight="1">
      <c r="A225" s="57" t="n">
        <v>4</v>
      </c>
      <c r="B225" s="58" t="n"/>
      <c r="C225" s="58" t="n"/>
      <c r="D225" s="59" t="n"/>
      <c r="E225" s="60" t="n"/>
      <c r="F225" s="60" t="n"/>
      <c r="G225" s="60" t="n"/>
      <c r="H225" s="34">
        <f>IF(OR(I225="G",I225="D"),0,IF(AND(E225="",F225=""),0,MAX(0,IFERROR(E225+0,0)+IFERROR(F225+0,0)-IFERROR(G225+0,0))))</f>
        <v/>
      </c>
      <c r="I225" s="61" t="n"/>
      <c r="J225" s="37">
        <f>IF(OR(B225="",H225=0),"-",RANK.EQ(H225,$H$222:$H$229,0))</f>
        <v/>
      </c>
    </row>
    <row r="226" ht="18" customHeight="1">
      <c r="A226" s="29" t="n">
        <v>5</v>
      </c>
      <c r="B226" s="30" t="n"/>
      <c r="C226" s="30" t="n"/>
      <c r="D226" s="31" t="n"/>
      <c r="E226" s="33" t="n"/>
      <c r="F226" s="33" t="n"/>
      <c r="G226" s="33" t="n"/>
      <c r="H226" s="34">
        <f>IF(OR(I226="G",I226="D"),0,IF(AND(E226="",F226=""),0,MAX(0,IFERROR(E226+0,0)+IFERROR(F226+0,0)-IFERROR(G226+0,0))))</f>
        <v/>
      </c>
      <c r="I226" s="35" t="n"/>
      <c r="J226" s="37">
        <f>IF(OR(B226="",H226=0),"-",RANK.EQ(H226,$H$222:$H$229,0))</f>
        <v/>
      </c>
    </row>
    <row r="227" ht="18" customHeight="1">
      <c r="A227" s="57" t="n">
        <v>6</v>
      </c>
      <c r="B227" s="58" t="n"/>
      <c r="C227" s="58" t="n"/>
      <c r="D227" s="59" t="n"/>
      <c r="E227" s="60" t="n"/>
      <c r="F227" s="60" t="n"/>
      <c r="G227" s="60" t="n"/>
      <c r="H227" s="34">
        <f>IF(OR(I227="G",I227="D"),0,IF(AND(E227="",F227=""),0,MAX(0,IFERROR(E227+0,0)+IFERROR(F227+0,0)-IFERROR(G227+0,0))))</f>
        <v/>
      </c>
      <c r="I227" s="61" t="n"/>
      <c r="J227" s="37">
        <f>IF(OR(B227="",H227=0),"-",RANK.EQ(H227,$H$222:$H$229,0))</f>
        <v/>
      </c>
    </row>
    <row r="228" ht="18" customHeight="1">
      <c r="A228" s="29" t="n">
        <v>7</v>
      </c>
      <c r="B228" s="30" t="n"/>
      <c r="C228" s="30" t="n"/>
      <c r="D228" s="31" t="n"/>
      <c r="E228" s="33" t="n"/>
      <c r="F228" s="33" t="n"/>
      <c r="G228" s="33" t="n"/>
      <c r="H228" s="34">
        <f>IF(OR(I228="G",I228="D"),0,IF(AND(E228="",F228=""),0,MAX(0,IFERROR(E228+0,0)+IFERROR(F228+0,0)-IFERROR(G228+0,0))))</f>
        <v/>
      </c>
      <c r="I228" s="35" t="n"/>
      <c r="J228" s="37">
        <f>IF(OR(B228="",H228=0),"-",RANK.EQ(H228,$H$222:$H$229,0))</f>
        <v/>
      </c>
    </row>
    <row r="229" ht="18" customHeight="1">
      <c r="A229" s="57" t="n">
        <v>8</v>
      </c>
      <c r="B229" s="58" t="n"/>
      <c r="C229" s="58" t="n"/>
      <c r="D229" s="59" t="n"/>
      <c r="E229" s="60" t="n"/>
      <c r="F229" s="60" t="n"/>
      <c r="G229" s="60" t="n"/>
      <c r="H229" s="34">
        <f>IF(OR(I229="G",I229="D"),0,IF(AND(E229="",F229=""),0,MAX(0,IFERROR(E229+0,0)+IFERROR(F229+0,0)-IFERROR(G229+0,0))))</f>
        <v/>
      </c>
      <c r="I229" s="61" t="n"/>
      <c r="J229" s="37">
        <f>IF(OR(B229="",H229=0),"-",RANK.EQ(H229,$H$222:$H$229,0))</f>
        <v/>
      </c>
    </row>
    <row r="232" ht="26" customHeight="1">
      <c r="A232" s="56" t="inlineStr">
        <is>
          <t>SERBEST (FX)  —  YILDIZ KIZLAR</t>
        </is>
      </c>
    </row>
    <row r="233" ht="26" customHeight="1">
      <c r="A233" s="27" t="inlineStr">
        <is>
          <t>Eleme
Sırası</t>
        </is>
      </c>
      <c r="B233" s="27" t="inlineStr">
        <is>
          <t>Ad</t>
        </is>
      </c>
      <c r="C233" s="27" t="inlineStr">
        <is>
          <t>Soyad</t>
        </is>
      </c>
      <c r="D233" s="27" t="inlineStr">
        <is>
          <t>Okul / Kulüp</t>
        </is>
      </c>
      <c r="E233" s="27" t="inlineStr">
        <is>
          <t>D</t>
        </is>
      </c>
      <c r="F233" s="27" t="inlineStr">
        <is>
          <t>E</t>
        </is>
      </c>
      <c r="G233" s="27" t="inlineStr">
        <is>
          <t>ND</t>
        </is>
      </c>
      <c r="H233" s="27" t="inlineStr">
        <is>
          <t>FİNAL</t>
        </is>
      </c>
      <c r="I233" s="27" t="inlineStr">
        <is>
          <t>Dur</t>
        </is>
      </c>
      <c r="J233" s="27" t="inlineStr">
        <is>
          <t>FİN.SIRA</t>
        </is>
      </c>
    </row>
    <row r="234" ht="18" customHeight="1">
      <c r="A234" s="29" t="n">
        <v>1</v>
      </c>
      <c r="B234" s="30" t="n"/>
      <c r="C234" s="30" t="n"/>
      <c r="D234" s="31" t="n"/>
      <c r="E234" s="33" t="n"/>
      <c r="F234" s="33" t="n"/>
      <c r="G234" s="33" t="n"/>
      <c r="H234" s="34">
        <f>IF(OR(I234="G",I234="D"),0,IF(AND(E234="",F234=""),0,MAX(0,IFERROR(E234+0,0)+IFERROR(F234+0,0)-IFERROR(G234+0,0))))</f>
        <v/>
      </c>
      <c r="I234" s="35" t="n"/>
      <c r="J234" s="37">
        <f>IF(OR(B234="",H234=0),"-",RANK.EQ(H234,$H$234:$H$241,0))</f>
        <v/>
      </c>
    </row>
    <row r="235" ht="18" customHeight="1">
      <c r="A235" s="57" t="n">
        <v>2</v>
      </c>
      <c r="B235" s="58" t="n"/>
      <c r="C235" s="58" t="n"/>
      <c r="D235" s="59" t="n"/>
      <c r="E235" s="60" t="n"/>
      <c r="F235" s="60" t="n"/>
      <c r="G235" s="60" t="n"/>
      <c r="H235" s="34">
        <f>IF(OR(I235="G",I235="D"),0,IF(AND(E235="",F235=""),0,MAX(0,IFERROR(E235+0,0)+IFERROR(F235+0,0)-IFERROR(G235+0,0))))</f>
        <v/>
      </c>
      <c r="I235" s="61" t="n"/>
      <c r="J235" s="37">
        <f>IF(OR(B235="",H235=0),"-",RANK.EQ(H235,$H$234:$H$241,0))</f>
        <v/>
      </c>
    </row>
    <row r="236" ht="18" customHeight="1">
      <c r="A236" s="29" t="n">
        <v>3</v>
      </c>
      <c r="B236" s="30" t="n"/>
      <c r="C236" s="30" t="n"/>
      <c r="D236" s="31" t="n"/>
      <c r="E236" s="33" t="n"/>
      <c r="F236" s="33" t="n"/>
      <c r="G236" s="33" t="n"/>
      <c r="H236" s="34">
        <f>IF(OR(I236="G",I236="D"),0,IF(AND(E236="",F236=""),0,MAX(0,IFERROR(E236+0,0)+IFERROR(F236+0,0)-IFERROR(G236+0,0))))</f>
        <v/>
      </c>
      <c r="I236" s="35" t="n"/>
      <c r="J236" s="37">
        <f>IF(OR(B236="",H236=0),"-",RANK.EQ(H236,$H$234:$H$241,0))</f>
        <v/>
      </c>
    </row>
    <row r="237" ht="18" customHeight="1">
      <c r="A237" s="57" t="n">
        <v>4</v>
      </c>
      <c r="B237" s="58" t="n"/>
      <c r="C237" s="58" t="n"/>
      <c r="D237" s="59" t="n"/>
      <c r="E237" s="60" t="n"/>
      <c r="F237" s="60" t="n"/>
      <c r="G237" s="60" t="n"/>
      <c r="H237" s="34">
        <f>IF(OR(I237="G",I237="D"),0,IF(AND(E237="",F237=""),0,MAX(0,IFERROR(E237+0,0)+IFERROR(F237+0,0)-IFERROR(G237+0,0))))</f>
        <v/>
      </c>
      <c r="I237" s="61" t="n"/>
      <c r="J237" s="37">
        <f>IF(OR(B237="",H237=0),"-",RANK.EQ(H237,$H$234:$H$241,0))</f>
        <v/>
      </c>
    </row>
    <row r="238" ht="18" customHeight="1">
      <c r="A238" s="29" t="n">
        <v>5</v>
      </c>
      <c r="B238" s="30" t="n"/>
      <c r="C238" s="30" t="n"/>
      <c r="D238" s="31" t="n"/>
      <c r="E238" s="33" t="n"/>
      <c r="F238" s="33" t="n"/>
      <c r="G238" s="33" t="n"/>
      <c r="H238" s="34">
        <f>IF(OR(I238="G",I238="D"),0,IF(AND(E238="",F238=""),0,MAX(0,IFERROR(E238+0,0)+IFERROR(F238+0,0)-IFERROR(G238+0,0))))</f>
        <v/>
      </c>
      <c r="I238" s="35" t="n"/>
      <c r="J238" s="37">
        <f>IF(OR(B238="",H238=0),"-",RANK.EQ(H238,$H$234:$H$241,0))</f>
        <v/>
      </c>
    </row>
    <row r="239" ht="18" customHeight="1">
      <c r="A239" s="57" t="n">
        <v>6</v>
      </c>
      <c r="B239" s="58" t="n"/>
      <c r="C239" s="58" t="n"/>
      <c r="D239" s="59" t="n"/>
      <c r="E239" s="60" t="n"/>
      <c r="F239" s="60" t="n"/>
      <c r="G239" s="60" t="n"/>
      <c r="H239" s="34">
        <f>IF(OR(I239="G",I239="D"),0,IF(AND(E239="",F239=""),0,MAX(0,IFERROR(E239+0,0)+IFERROR(F239+0,0)-IFERROR(G239+0,0))))</f>
        <v/>
      </c>
      <c r="I239" s="61" t="n"/>
      <c r="J239" s="37">
        <f>IF(OR(B239="",H239=0),"-",RANK.EQ(H239,$H$234:$H$241,0))</f>
        <v/>
      </c>
    </row>
    <row r="240" ht="18" customHeight="1">
      <c r="A240" s="29" t="n">
        <v>7</v>
      </c>
      <c r="B240" s="30" t="n"/>
      <c r="C240" s="30" t="n"/>
      <c r="D240" s="31" t="n"/>
      <c r="E240" s="33" t="n"/>
      <c r="F240" s="33" t="n"/>
      <c r="G240" s="33" t="n"/>
      <c r="H240" s="34">
        <f>IF(OR(I240="G",I240="D"),0,IF(AND(E240="",F240=""),0,MAX(0,IFERROR(E240+0,0)+IFERROR(F240+0,0)-IFERROR(G240+0,0))))</f>
        <v/>
      </c>
      <c r="I240" s="35" t="n"/>
      <c r="J240" s="37">
        <f>IF(OR(B240="",H240=0),"-",RANK.EQ(H240,$H$234:$H$241,0))</f>
        <v/>
      </c>
    </row>
    <row r="241" ht="18" customHeight="1">
      <c r="A241" s="57" t="n">
        <v>8</v>
      </c>
      <c r="B241" s="58" t="n"/>
      <c r="C241" s="58" t="n"/>
      <c r="D241" s="59" t="n"/>
      <c r="E241" s="60" t="n"/>
      <c r="F241" s="60" t="n"/>
      <c r="G241" s="60" t="n"/>
      <c r="H241" s="34">
        <f>IF(OR(I241="G",I241="D"),0,IF(AND(E241="",F241=""),0,MAX(0,IFERROR(E241+0,0)+IFERROR(F241+0,0)-IFERROR(G241+0,0))))</f>
        <v/>
      </c>
      <c r="I241" s="61" t="n"/>
      <c r="J241" s="37">
        <f>IF(OR(B241="",H241=0),"-",RANK.EQ(H241,$H$234:$H$241,0))</f>
        <v/>
      </c>
    </row>
    <row r="244" ht="26" customHeight="1">
      <c r="A244" s="56" t="inlineStr">
        <is>
          <t>YER (FX)  —  YILDIZ ERKEKLER</t>
        </is>
      </c>
    </row>
    <row r="245" ht="26" customHeight="1">
      <c r="A245" s="27" t="inlineStr">
        <is>
          <t>Eleme
Sırası</t>
        </is>
      </c>
      <c r="B245" s="27" t="inlineStr">
        <is>
          <t>Ad</t>
        </is>
      </c>
      <c r="C245" s="27" t="inlineStr">
        <is>
          <t>Soyad</t>
        </is>
      </c>
      <c r="D245" s="27" t="inlineStr">
        <is>
          <t>Okul / Kulüp</t>
        </is>
      </c>
      <c r="E245" s="27" t="inlineStr">
        <is>
          <t>D</t>
        </is>
      </c>
      <c r="F245" s="27" t="inlineStr">
        <is>
          <t>E</t>
        </is>
      </c>
      <c r="G245" s="27" t="inlineStr">
        <is>
          <t>ND</t>
        </is>
      </c>
      <c r="H245" s="27" t="inlineStr">
        <is>
          <t>FİNAL</t>
        </is>
      </c>
      <c r="I245" s="27" t="inlineStr">
        <is>
          <t>Dur</t>
        </is>
      </c>
      <c r="J245" s="27" t="inlineStr">
        <is>
          <t>FİN.SIRA</t>
        </is>
      </c>
    </row>
    <row r="246" ht="18" customHeight="1">
      <c r="A246" s="29" t="n">
        <v>1</v>
      </c>
      <c r="B246" s="30" t="n"/>
      <c r="C246" s="30" t="n"/>
      <c r="D246" s="31" t="n"/>
      <c r="E246" s="33" t="n"/>
      <c r="F246" s="33" t="n"/>
      <c r="G246" s="33" t="n"/>
      <c r="H246" s="34">
        <f>IF(OR(I246="G",I246="D"),0,IF(AND(E246="",F246=""),0,MAX(0,IFERROR(E246+0,0)+IFERROR(F246+0,0)-IFERROR(G246+0,0))))</f>
        <v/>
      </c>
      <c r="I246" s="35" t="n"/>
      <c r="J246" s="37">
        <f>IF(OR(B246="",H246=0),"-",RANK.EQ(H246,$H$246:$H$253,0))</f>
        <v/>
      </c>
    </row>
    <row r="247" ht="18" customHeight="1">
      <c r="A247" s="57" t="n">
        <v>2</v>
      </c>
      <c r="B247" s="58" t="n"/>
      <c r="C247" s="58" t="n"/>
      <c r="D247" s="59" t="n"/>
      <c r="E247" s="60" t="n"/>
      <c r="F247" s="60" t="n"/>
      <c r="G247" s="60" t="n"/>
      <c r="H247" s="34">
        <f>IF(OR(I247="G",I247="D"),0,IF(AND(E247="",F247=""),0,MAX(0,IFERROR(E247+0,0)+IFERROR(F247+0,0)-IFERROR(G247+0,0))))</f>
        <v/>
      </c>
      <c r="I247" s="61" t="n"/>
      <c r="J247" s="37">
        <f>IF(OR(B247="",H247=0),"-",RANK.EQ(H247,$H$246:$H$253,0))</f>
        <v/>
      </c>
    </row>
    <row r="248" ht="18" customHeight="1">
      <c r="A248" s="29" t="n">
        <v>3</v>
      </c>
      <c r="B248" s="30" t="n"/>
      <c r="C248" s="30" t="n"/>
      <c r="D248" s="31" t="n"/>
      <c r="E248" s="33" t="n"/>
      <c r="F248" s="33" t="n"/>
      <c r="G248" s="33" t="n"/>
      <c r="H248" s="34">
        <f>IF(OR(I248="G",I248="D"),0,IF(AND(E248="",F248=""),0,MAX(0,IFERROR(E248+0,0)+IFERROR(F248+0,0)-IFERROR(G248+0,0))))</f>
        <v/>
      </c>
      <c r="I248" s="35" t="n"/>
      <c r="J248" s="37">
        <f>IF(OR(B248="",H248=0),"-",RANK.EQ(H248,$H$246:$H$253,0))</f>
        <v/>
      </c>
    </row>
    <row r="249" ht="18" customHeight="1">
      <c r="A249" s="57" t="n">
        <v>4</v>
      </c>
      <c r="B249" s="58" t="n"/>
      <c r="C249" s="58" t="n"/>
      <c r="D249" s="59" t="n"/>
      <c r="E249" s="60" t="n"/>
      <c r="F249" s="60" t="n"/>
      <c r="G249" s="60" t="n"/>
      <c r="H249" s="34">
        <f>IF(OR(I249="G",I249="D"),0,IF(AND(E249="",F249=""),0,MAX(0,IFERROR(E249+0,0)+IFERROR(F249+0,0)-IFERROR(G249+0,0))))</f>
        <v/>
      </c>
      <c r="I249" s="61" t="n"/>
      <c r="J249" s="37">
        <f>IF(OR(B249="",H249=0),"-",RANK.EQ(H249,$H$246:$H$253,0))</f>
        <v/>
      </c>
    </row>
    <row r="250" ht="18" customHeight="1">
      <c r="A250" s="29" t="n">
        <v>5</v>
      </c>
      <c r="B250" s="30" t="n"/>
      <c r="C250" s="30" t="n"/>
      <c r="D250" s="31" t="n"/>
      <c r="E250" s="33" t="n"/>
      <c r="F250" s="33" t="n"/>
      <c r="G250" s="33" t="n"/>
      <c r="H250" s="34">
        <f>IF(OR(I250="G",I250="D"),0,IF(AND(E250="",F250=""),0,MAX(0,IFERROR(E250+0,0)+IFERROR(F250+0,0)-IFERROR(G250+0,0))))</f>
        <v/>
      </c>
      <c r="I250" s="35" t="n"/>
      <c r="J250" s="37">
        <f>IF(OR(B250="",H250=0),"-",RANK.EQ(H250,$H$246:$H$253,0))</f>
        <v/>
      </c>
    </row>
    <row r="251" ht="18" customHeight="1">
      <c r="A251" s="57" t="n">
        <v>6</v>
      </c>
      <c r="B251" s="58" t="n"/>
      <c r="C251" s="58" t="n"/>
      <c r="D251" s="59" t="n"/>
      <c r="E251" s="60" t="n"/>
      <c r="F251" s="60" t="n"/>
      <c r="G251" s="60" t="n"/>
      <c r="H251" s="34">
        <f>IF(OR(I251="G",I251="D"),0,IF(AND(E251="",F251=""),0,MAX(0,IFERROR(E251+0,0)+IFERROR(F251+0,0)-IFERROR(G251+0,0))))</f>
        <v/>
      </c>
      <c r="I251" s="61" t="n"/>
      <c r="J251" s="37">
        <f>IF(OR(B251="",H251=0),"-",RANK.EQ(H251,$H$246:$H$253,0))</f>
        <v/>
      </c>
    </row>
    <row r="252" ht="18" customHeight="1">
      <c r="A252" s="29" t="n">
        <v>7</v>
      </c>
      <c r="B252" s="30" t="n"/>
      <c r="C252" s="30" t="n"/>
      <c r="D252" s="31" t="n"/>
      <c r="E252" s="33" t="n"/>
      <c r="F252" s="33" t="n"/>
      <c r="G252" s="33" t="n"/>
      <c r="H252" s="34">
        <f>IF(OR(I252="G",I252="D"),0,IF(AND(E252="",F252=""),0,MAX(0,IFERROR(E252+0,0)+IFERROR(F252+0,0)-IFERROR(G252+0,0))))</f>
        <v/>
      </c>
      <c r="I252" s="35" t="n"/>
      <c r="J252" s="37">
        <f>IF(OR(B252="",H252=0),"-",RANK.EQ(H252,$H$246:$H$253,0))</f>
        <v/>
      </c>
    </row>
    <row r="253" ht="18" customHeight="1">
      <c r="A253" s="57" t="n">
        <v>8</v>
      </c>
      <c r="B253" s="58" t="n"/>
      <c r="C253" s="58" t="n"/>
      <c r="D253" s="59" t="n"/>
      <c r="E253" s="60" t="n"/>
      <c r="F253" s="60" t="n"/>
      <c r="G253" s="60" t="n"/>
      <c r="H253" s="34">
        <f>IF(OR(I253="G",I253="D"),0,IF(AND(E253="",F253=""),0,MAX(0,IFERROR(E253+0,0)+IFERROR(F253+0,0)-IFERROR(G253+0,0))))</f>
        <v/>
      </c>
      <c r="I253" s="61" t="n"/>
      <c r="J253" s="37">
        <f>IF(OR(B253="",H253=0),"-",RANK.EQ(H253,$H$246:$H$253,0))</f>
        <v/>
      </c>
    </row>
    <row r="256" ht="26" customHeight="1">
      <c r="A256" s="56" t="inlineStr">
        <is>
          <t>KULPLU BEYGIR (PH)  —  YILDIZ ERKEKLER</t>
        </is>
      </c>
    </row>
    <row r="257" ht="26" customHeight="1">
      <c r="A257" s="27" t="inlineStr">
        <is>
          <t>Eleme
Sırası</t>
        </is>
      </c>
      <c r="B257" s="27" t="inlineStr">
        <is>
          <t>Ad</t>
        </is>
      </c>
      <c r="C257" s="27" t="inlineStr">
        <is>
          <t>Soyad</t>
        </is>
      </c>
      <c r="D257" s="27" t="inlineStr">
        <is>
          <t>Okul / Kulüp</t>
        </is>
      </c>
      <c r="E257" s="27" t="inlineStr">
        <is>
          <t>D</t>
        </is>
      </c>
      <c r="F257" s="27" t="inlineStr">
        <is>
          <t>E</t>
        </is>
      </c>
      <c r="G257" s="27" t="inlineStr">
        <is>
          <t>ND</t>
        </is>
      </c>
      <c r="H257" s="27" t="inlineStr">
        <is>
          <t>FİNAL</t>
        </is>
      </c>
      <c r="I257" s="27" t="inlineStr">
        <is>
          <t>Dur</t>
        </is>
      </c>
      <c r="J257" s="27" t="inlineStr">
        <is>
          <t>FİN.SIRA</t>
        </is>
      </c>
    </row>
    <row r="258" ht="18" customHeight="1">
      <c r="A258" s="29" t="n">
        <v>1</v>
      </c>
      <c r="B258" s="30" t="n"/>
      <c r="C258" s="30" t="n"/>
      <c r="D258" s="31" t="n"/>
      <c r="E258" s="33" t="n"/>
      <c r="F258" s="33" t="n"/>
      <c r="G258" s="33" t="n"/>
      <c r="H258" s="34">
        <f>IF(OR(I258="G",I258="D"),0,IF(AND(E258="",F258=""),0,MAX(0,IFERROR(E258+0,0)+IFERROR(F258+0,0)-IFERROR(G258+0,0))))</f>
        <v/>
      </c>
      <c r="I258" s="35" t="n"/>
      <c r="J258" s="37">
        <f>IF(OR(B258="",H258=0),"-",RANK.EQ(H258,$H$258:$H$265,0))</f>
        <v/>
      </c>
    </row>
    <row r="259" ht="18" customHeight="1">
      <c r="A259" s="57" t="n">
        <v>2</v>
      </c>
      <c r="B259" s="58" t="n"/>
      <c r="C259" s="58" t="n"/>
      <c r="D259" s="59" t="n"/>
      <c r="E259" s="60" t="n"/>
      <c r="F259" s="60" t="n"/>
      <c r="G259" s="60" t="n"/>
      <c r="H259" s="34">
        <f>IF(OR(I259="G",I259="D"),0,IF(AND(E259="",F259=""),0,MAX(0,IFERROR(E259+0,0)+IFERROR(F259+0,0)-IFERROR(G259+0,0))))</f>
        <v/>
      </c>
      <c r="I259" s="61" t="n"/>
      <c r="J259" s="37">
        <f>IF(OR(B259="",H259=0),"-",RANK.EQ(H259,$H$258:$H$265,0))</f>
        <v/>
      </c>
    </row>
    <row r="260" ht="18" customHeight="1">
      <c r="A260" s="29" t="n">
        <v>3</v>
      </c>
      <c r="B260" s="30" t="n"/>
      <c r="C260" s="30" t="n"/>
      <c r="D260" s="31" t="n"/>
      <c r="E260" s="33" t="n"/>
      <c r="F260" s="33" t="n"/>
      <c r="G260" s="33" t="n"/>
      <c r="H260" s="34">
        <f>IF(OR(I260="G",I260="D"),0,IF(AND(E260="",F260=""),0,MAX(0,IFERROR(E260+0,0)+IFERROR(F260+0,0)-IFERROR(G260+0,0))))</f>
        <v/>
      </c>
      <c r="I260" s="35" t="n"/>
      <c r="J260" s="37">
        <f>IF(OR(B260="",H260=0),"-",RANK.EQ(H260,$H$258:$H$265,0))</f>
        <v/>
      </c>
    </row>
    <row r="261" ht="18" customHeight="1">
      <c r="A261" s="57" t="n">
        <v>4</v>
      </c>
      <c r="B261" s="58" t="n"/>
      <c r="C261" s="58" t="n"/>
      <c r="D261" s="59" t="n"/>
      <c r="E261" s="60" t="n"/>
      <c r="F261" s="60" t="n"/>
      <c r="G261" s="60" t="n"/>
      <c r="H261" s="34">
        <f>IF(OR(I261="G",I261="D"),0,IF(AND(E261="",F261=""),0,MAX(0,IFERROR(E261+0,0)+IFERROR(F261+0,0)-IFERROR(G261+0,0))))</f>
        <v/>
      </c>
      <c r="I261" s="61" t="n"/>
      <c r="J261" s="37">
        <f>IF(OR(B261="",H261=0),"-",RANK.EQ(H261,$H$258:$H$265,0))</f>
        <v/>
      </c>
    </row>
    <row r="262" ht="18" customHeight="1">
      <c r="A262" s="29" t="n">
        <v>5</v>
      </c>
      <c r="B262" s="30" t="n"/>
      <c r="C262" s="30" t="n"/>
      <c r="D262" s="31" t="n"/>
      <c r="E262" s="33" t="n"/>
      <c r="F262" s="33" t="n"/>
      <c r="G262" s="33" t="n"/>
      <c r="H262" s="34">
        <f>IF(OR(I262="G",I262="D"),0,IF(AND(E262="",F262=""),0,MAX(0,IFERROR(E262+0,0)+IFERROR(F262+0,0)-IFERROR(G262+0,0))))</f>
        <v/>
      </c>
      <c r="I262" s="35" t="n"/>
      <c r="J262" s="37">
        <f>IF(OR(B262="",H262=0),"-",RANK.EQ(H262,$H$258:$H$265,0))</f>
        <v/>
      </c>
    </row>
    <row r="263" ht="18" customHeight="1">
      <c r="A263" s="57" t="n">
        <v>6</v>
      </c>
      <c r="B263" s="58" t="n"/>
      <c r="C263" s="58" t="n"/>
      <c r="D263" s="59" t="n"/>
      <c r="E263" s="60" t="n"/>
      <c r="F263" s="60" t="n"/>
      <c r="G263" s="60" t="n"/>
      <c r="H263" s="34">
        <f>IF(OR(I263="G",I263="D"),0,IF(AND(E263="",F263=""),0,MAX(0,IFERROR(E263+0,0)+IFERROR(F263+0,0)-IFERROR(G263+0,0))))</f>
        <v/>
      </c>
      <c r="I263" s="61" t="n"/>
      <c r="J263" s="37">
        <f>IF(OR(B263="",H263=0),"-",RANK.EQ(H263,$H$258:$H$265,0))</f>
        <v/>
      </c>
    </row>
    <row r="264" ht="18" customHeight="1">
      <c r="A264" s="29" t="n">
        <v>7</v>
      </c>
      <c r="B264" s="30" t="n"/>
      <c r="C264" s="30" t="n"/>
      <c r="D264" s="31" t="n"/>
      <c r="E264" s="33" t="n"/>
      <c r="F264" s="33" t="n"/>
      <c r="G264" s="33" t="n"/>
      <c r="H264" s="34">
        <f>IF(OR(I264="G",I264="D"),0,IF(AND(E264="",F264=""),0,MAX(0,IFERROR(E264+0,0)+IFERROR(F264+0,0)-IFERROR(G264+0,0))))</f>
        <v/>
      </c>
      <c r="I264" s="35" t="n"/>
      <c r="J264" s="37">
        <f>IF(OR(B264="",H264=0),"-",RANK.EQ(H264,$H$258:$H$265,0))</f>
        <v/>
      </c>
    </row>
    <row r="265" ht="18" customHeight="1">
      <c r="A265" s="57" t="n">
        <v>8</v>
      </c>
      <c r="B265" s="58" t="n"/>
      <c r="C265" s="58" t="n"/>
      <c r="D265" s="59" t="n"/>
      <c r="E265" s="60" t="n"/>
      <c r="F265" s="60" t="n"/>
      <c r="G265" s="60" t="n"/>
      <c r="H265" s="34">
        <f>IF(OR(I265="G",I265="D"),0,IF(AND(E265="",F265=""),0,MAX(0,IFERROR(E265+0,0)+IFERROR(F265+0,0)-IFERROR(G265+0,0))))</f>
        <v/>
      </c>
      <c r="I265" s="61" t="n"/>
      <c r="J265" s="37">
        <f>IF(OR(B265="",H265=0),"-",RANK.EQ(H265,$H$258:$H$265,0))</f>
        <v/>
      </c>
    </row>
    <row r="268" ht="26" customHeight="1">
      <c r="A268" s="56" t="inlineStr">
        <is>
          <t>HALKA (SR)  —  YILDIZ ERKEKLER</t>
        </is>
      </c>
    </row>
    <row r="269" ht="26" customHeight="1">
      <c r="A269" s="27" t="inlineStr">
        <is>
          <t>Eleme
Sırası</t>
        </is>
      </c>
      <c r="B269" s="27" t="inlineStr">
        <is>
          <t>Ad</t>
        </is>
      </c>
      <c r="C269" s="27" t="inlineStr">
        <is>
          <t>Soyad</t>
        </is>
      </c>
      <c r="D269" s="27" t="inlineStr">
        <is>
          <t>Okul / Kulüp</t>
        </is>
      </c>
      <c r="E269" s="27" t="inlineStr">
        <is>
          <t>D</t>
        </is>
      </c>
      <c r="F269" s="27" t="inlineStr">
        <is>
          <t>E</t>
        </is>
      </c>
      <c r="G269" s="27" t="inlineStr">
        <is>
          <t>ND</t>
        </is>
      </c>
      <c r="H269" s="27" t="inlineStr">
        <is>
          <t>FİNAL</t>
        </is>
      </c>
      <c r="I269" s="27" t="inlineStr">
        <is>
          <t>Dur</t>
        </is>
      </c>
      <c r="J269" s="27" t="inlineStr">
        <is>
          <t>FİN.SIRA</t>
        </is>
      </c>
    </row>
    <row r="270" ht="18" customHeight="1">
      <c r="A270" s="29" t="n">
        <v>1</v>
      </c>
      <c r="B270" s="30" t="n"/>
      <c r="C270" s="30" t="n"/>
      <c r="D270" s="31" t="n"/>
      <c r="E270" s="33" t="n"/>
      <c r="F270" s="33" t="n"/>
      <c r="G270" s="33" t="n"/>
      <c r="H270" s="34">
        <f>IF(OR(I270="G",I270="D"),0,IF(AND(E270="",F270=""),0,MAX(0,IFERROR(E270+0,0)+IFERROR(F270+0,0)-IFERROR(G270+0,0))))</f>
        <v/>
      </c>
      <c r="I270" s="35" t="n"/>
      <c r="J270" s="37">
        <f>IF(OR(B270="",H270=0),"-",RANK.EQ(H270,$H$270:$H$277,0))</f>
        <v/>
      </c>
    </row>
    <row r="271" ht="18" customHeight="1">
      <c r="A271" s="57" t="n">
        <v>2</v>
      </c>
      <c r="B271" s="58" t="n"/>
      <c r="C271" s="58" t="n"/>
      <c r="D271" s="59" t="n"/>
      <c r="E271" s="60" t="n"/>
      <c r="F271" s="60" t="n"/>
      <c r="G271" s="60" t="n"/>
      <c r="H271" s="34">
        <f>IF(OR(I271="G",I271="D"),0,IF(AND(E271="",F271=""),0,MAX(0,IFERROR(E271+0,0)+IFERROR(F271+0,0)-IFERROR(G271+0,0))))</f>
        <v/>
      </c>
      <c r="I271" s="61" t="n"/>
      <c r="J271" s="37">
        <f>IF(OR(B271="",H271=0),"-",RANK.EQ(H271,$H$270:$H$277,0))</f>
        <v/>
      </c>
    </row>
    <row r="272" ht="18" customHeight="1">
      <c r="A272" s="29" t="n">
        <v>3</v>
      </c>
      <c r="B272" s="30" t="n"/>
      <c r="C272" s="30" t="n"/>
      <c r="D272" s="31" t="n"/>
      <c r="E272" s="33" t="n"/>
      <c r="F272" s="33" t="n"/>
      <c r="G272" s="33" t="n"/>
      <c r="H272" s="34">
        <f>IF(OR(I272="G",I272="D"),0,IF(AND(E272="",F272=""),0,MAX(0,IFERROR(E272+0,0)+IFERROR(F272+0,0)-IFERROR(G272+0,0))))</f>
        <v/>
      </c>
      <c r="I272" s="35" t="n"/>
      <c r="J272" s="37">
        <f>IF(OR(B272="",H272=0),"-",RANK.EQ(H272,$H$270:$H$277,0))</f>
        <v/>
      </c>
    </row>
    <row r="273" ht="18" customHeight="1">
      <c r="A273" s="57" t="n">
        <v>4</v>
      </c>
      <c r="B273" s="58" t="n"/>
      <c r="C273" s="58" t="n"/>
      <c r="D273" s="59" t="n"/>
      <c r="E273" s="60" t="n"/>
      <c r="F273" s="60" t="n"/>
      <c r="G273" s="60" t="n"/>
      <c r="H273" s="34">
        <f>IF(OR(I273="G",I273="D"),0,IF(AND(E273="",F273=""),0,MAX(0,IFERROR(E273+0,0)+IFERROR(F273+0,0)-IFERROR(G273+0,0))))</f>
        <v/>
      </c>
      <c r="I273" s="61" t="n"/>
      <c r="J273" s="37">
        <f>IF(OR(B273="",H273=0),"-",RANK.EQ(H273,$H$270:$H$277,0))</f>
        <v/>
      </c>
    </row>
    <row r="274" ht="18" customHeight="1">
      <c r="A274" s="29" t="n">
        <v>5</v>
      </c>
      <c r="B274" s="30" t="n"/>
      <c r="C274" s="30" t="n"/>
      <c r="D274" s="31" t="n"/>
      <c r="E274" s="33" t="n"/>
      <c r="F274" s="33" t="n"/>
      <c r="G274" s="33" t="n"/>
      <c r="H274" s="34">
        <f>IF(OR(I274="G",I274="D"),0,IF(AND(E274="",F274=""),0,MAX(0,IFERROR(E274+0,0)+IFERROR(F274+0,0)-IFERROR(G274+0,0))))</f>
        <v/>
      </c>
      <c r="I274" s="35" t="n"/>
      <c r="J274" s="37">
        <f>IF(OR(B274="",H274=0),"-",RANK.EQ(H274,$H$270:$H$277,0))</f>
        <v/>
      </c>
    </row>
    <row r="275" ht="18" customHeight="1">
      <c r="A275" s="57" t="n">
        <v>6</v>
      </c>
      <c r="B275" s="58" t="n"/>
      <c r="C275" s="58" t="n"/>
      <c r="D275" s="59" t="n"/>
      <c r="E275" s="60" t="n"/>
      <c r="F275" s="60" t="n"/>
      <c r="G275" s="60" t="n"/>
      <c r="H275" s="34">
        <f>IF(OR(I275="G",I275="D"),0,IF(AND(E275="",F275=""),0,MAX(0,IFERROR(E275+0,0)+IFERROR(F275+0,0)-IFERROR(G275+0,0))))</f>
        <v/>
      </c>
      <c r="I275" s="61" t="n"/>
      <c r="J275" s="37">
        <f>IF(OR(B275="",H275=0),"-",RANK.EQ(H275,$H$270:$H$277,0))</f>
        <v/>
      </c>
    </row>
    <row r="276" ht="18" customHeight="1">
      <c r="A276" s="29" t="n">
        <v>7</v>
      </c>
      <c r="B276" s="30" t="n"/>
      <c r="C276" s="30" t="n"/>
      <c r="D276" s="31" t="n"/>
      <c r="E276" s="33" t="n"/>
      <c r="F276" s="33" t="n"/>
      <c r="G276" s="33" t="n"/>
      <c r="H276" s="34">
        <f>IF(OR(I276="G",I276="D"),0,IF(AND(E276="",F276=""),0,MAX(0,IFERROR(E276+0,0)+IFERROR(F276+0,0)-IFERROR(G276+0,0))))</f>
        <v/>
      </c>
      <c r="I276" s="35" t="n"/>
      <c r="J276" s="37">
        <f>IF(OR(B276="",H276=0),"-",RANK.EQ(H276,$H$270:$H$277,0))</f>
        <v/>
      </c>
    </row>
    <row r="277" ht="18" customHeight="1">
      <c r="A277" s="57" t="n">
        <v>8</v>
      </c>
      <c r="B277" s="58" t="n"/>
      <c r="C277" s="58" t="n"/>
      <c r="D277" s="59" t="n"/>
      <c r="E277" s="60" t="n"/>
      <c r="F277" s="60" t="n"/>
      <c r="G277" s="60" t="n"/>
      <c r="H277" s="34">
        <f>IF(OR(I277="G",I277="D"),0,IF(AND(E277="",F277=""),0,MAX(0,IFERROR(E277+0,0)+IFERROR(F277+0,0)-IFERROR(G277+0,0))))</f>
        <v/>
      </c>
      <c r="I277" s="61" t="n"/>
      <c r="J277" s="37">
        <f>IF(OR(B277="",H277=0),"-",RANK.EQ(H277,$H$270:$H$277,0))</f>
        <v/>
      </c>
    </row>
    <row r="280" ht="26" customHeight="1">
      <c r="A280" s="56" t="inlineStr">
        <is>
          <t>ATLAMA (VT)  —  YILDIZ ERKEKLER</t>
        </is>
      </c>
    </row>
    <row r="281" ht="26" customHeight="1">
      <c r="A281" s="27" t="inlineStr">
        <is>
          <t>Eleme
Sırası</t>
        </is>
      </c>
      <c r="B281" s="27" t="inlineStr">
        <is>
          <t>Ad</t>
        </is>
      </c>
      <c r="C281" s="27" t="inlineStr">
        <is>
          <t>Soyad</t>
        </is>
      </c>
      <c r="D281" s="27" t="inlineStr">
        <is>
          <t>Okul / Kulüp</t>
        </is>
      </c>
      <c r="E281" s="27" t="inlineStr">
        <is>
          <t>D</t>
        </is>
      </c>
      <c r="F281" s="27" t="inlineStr">
        <is>
          <t>E</t>
        </is>
      </c>
      <c r="G281" s="27" t="inlineStr">
        <is>
          <t>ND</t>
        </is>
      </c>
      <c r="H281" s="27" t="inlineStr">
        <is>
          <t>FİNAL</t>
        </is>
      </c>
      <c r="I281" s="27" t="inlineStr">
        <is>
          <t>Dur</t>
        </is>
      </c>
      <c r="J281" s="27" t="inlineStr">
        <is>
          <t>FİN.SIRA</t>
        </is>
      </c>
    </row>
    <row r="282" ht="18" customHeight="1">
      <c r="A282" s="29" t="n">
        <v>1</v>
      </c>
      <c r="B282" s="30" t="n"/>
      <c r="C282" s="30" t="n"/>
      <c r="D282" s="31" t="n"/>
      <c r="E282" s="33" t="n"/>
      <c r="F282" s="33" t="n"/>
      <c r="G282" s="33" t="n"/>
      <c r="H282" s="34">
        <f>IF(OR(I282="G",I282="D"),0,IF(AND(E282="",F282=""),0,MAX(0,IFERROR(E282+0,0)+IFERROR(F282+0,0)-IFERROR(G282+0,0))))</f>
        <v/>
      </c>
      <c r="I282" s="35" t="n"/>
      <c r="J282" s="37">
        <f>IF(OR(B282="",H282=0),"-",RANK.EQ(H282,$H$282:$H$289,0))</f>
        <v/>
      </c>
    </row>
    <row r="283" ht="18" customHeight="1">
      <c r="A283" s="57" t="n">
        <v>2</v>
      </c>
      <c r="B283" s="58" t="n"/>
      <c r="C283" s="58" t="n"/>
      <c r="D283" s="59" t="n"/>
      <c r="E283" s="60" t="n"/>
      <c r="F283" s="60" t="n"/>
      <c r="G283" s="60" t="n"/>
      <c r="H283" s="34">
        <f>IF(OR(I283="G",I283="D"),0,IF(AND(E283="",F283=""),0,MAX(0,IFERROR(E283+0,0)+IFERROR(F283+0,0)-IFERROR(G283+0,0))))</f>
        <v/>
      </c>
      <c r="I283" s="61" t="n"/>
      <c r="J283" s="37">
        <f>IF(OR(B283="",H283=0),"-",RANK.EQ(H283,$H$282:$H$289,0))</f>
        <v/>
      </c>
    </row>
    <row r="284" ht="18" customHeight="1">
      <c r="A284" s="29" t="n">
        <v>3</v>
      </c>
      <c r="B284" s="30" t="n"/>
      <c r="C284" s="30" t="n"/>
      <c r="D284" s="31" t="n"/>
      <c r="E284" s="33" t="n"/>
      <c r="F284" s="33" t="n"/>
      <c r="G284" s="33" t="n"/>
      <c r="H284" s="34">
        <f>IF(OR(I284="G",I284="D"),0,IF(AND(E284="",F284=""),0,MAX(0,IFERROR(E284+0,0)+IFERROR(F284+0,0)-IFERROR(G284+0,0))))</f>
        <v/>
      </c>
      <c r="I284" s="35" t="n"/>
      <c r="J284" s="37">
        <f>IF(OR(B284="",H284=0),"-",RANK.EQ(H284,$H$282:$H$289,0))</f>
        <v/>
      </c>
    </row>
    <row r="285" ht="18" customHeight="1">
      <c r="A285" s="57" t="n">
        <v>4</v>
      </c>
      <c r="B285" s="58" t="n"/>
      <c r="C285" s="58" t="n"/>
      <c r="D285" s="59" t="n"/>
      <c r="E285" s="60" t="n"/>
      <c r="F285" s="60" t="n"/>
      <c r="G285" s="60" t="n"/>
      <c r="H285" s="34">
        <f>IF(OR(I285="G",I285="D"),0,IF(AND(E285="",F285=""),0,MAX(0,IFERROR(E285+0,0)+IFERROR(F285+0,0)-IFERROR(G285+0,0))))</f>
        <v/>
      </c>
      <c r="I285" s="61" t="n"/>
      <c r="J285" s="37">
        <f>IF(OR(B285="",H285=0),"-",RANK.EQ(H285,$H$282:$H$289,0))</f>
        <v/>
      </c>
    </row>
    <row r="286" ht="18" customHeight="1">
      <c r="A286" s="29" t="n">
        <v>5</v>
      </c>
      <c r="B286" s="30" t="n"/>
      <c r="C286" s="30" t="n"/>
      <c r="D286" s="31" t="n"/>
      <c r="E286" s="33" t="n"/>
      <c r="F286" s="33" t="n"/>
      <c r="G286" s="33" t="n"/>
      <c r="H286" s="34">
        <f>IF(OR(I286="G",I286="D"),0,IF(AND(E286="",F286=""),0,MAX(0,IFERROR(E286+0,0)+IFERROR(F286+0,0)-IFERROR(G286+0,0))))</f>
        <v/>
      </c>
      <c r="I286" s="35" t="n"/>
      <c r="J286" s="37">
        <f>IF(OR(B286="",H286=0),"-",RANK.EQ(H286,$H$282:$H$289,0))</f>
        <v/>
      </c>
    </row>
    <row r="287" ht="18" customHeight="1">
      <c r="A287" s="57" t="n">
        <v>6</v>
      </c>
      <c r="B287" s="58" t="n"/>
      <c r="C287" s="58" t="n"/>
      <c r="D287" s="59" t="n"/>
      <c r="E287" s="60" t="n"/>
      <c r="F287" s="60" t="n"/>
      <c r="G287" s="60" t="n"/>
      <c r="H287" s="34">
        <f>IF(OR(I287="G",I287="D"),0,IF(AND(E287="",F287=""),0,MAX(0,IFERROR(E287+0,0)+IFERROR(F287+0,0)-IFERROR(G287+0,0))))</f>
        <v/>
      </c>
      <c r="I287" s="61" t="n"/>
      <c r="J287" s="37">
        <f>IF(OR(B287="",H287=0),"-",RANK.EQ(H287,$H$282:$H$289,0))</f>
        <v/>
      </c>
    </row>
    <row r="288" ht="18" customHeight="1">
      <c r="A288" s="29" t="n">
        <v>7</v>
      </c>
      <c r="B288" s="30" t="n"/>
      <c r="C288" s="30" t="n"/>
      <c r="D288" s="31" t="n"/>
      <c r="E288" s="33" t="n"/>
      <c r="F288" s="33" t="n"/>
      <c r="G288" s="33" t="n"/>
      <c r="H288" s="34">
        <f>IF(OR(I288="G",I288="D"),0,IF(AND(E288="",F288=""),0,MAX(0,IFERROR(E288+0,0)+IFERROR(F288+0,0)-IFERROR(G288+0,0))))</f>
        <v/>
      </c>
      <c r="I288" s="35" t="n"/>
      <c r="J288" s="37">
        <f>IF(OR(B288="",H288=0),"-",RANK.EQ(H288,$H$282:$H$289,0))</f>
        <v/>
      </c>
    </row>
    <row r="289" ht="18" customHeight="1">
      <c r="A289" s="57" t="n">
        <v>8</v>
      </c>
      <c r="B289" s="58" t="n"/>
      <c r="C289" s="58" t="n"/>
      <c r="D289" s="59" t="n"/>
      <c r="E289" s="60" t="n"/>
      <c r="F289" s="60" t="n"/>
      <c r="G289" s="60" t="n"/>
      <c r="H289" s="34">
        <f>IF(OR(I289="G",I289="D"),0,IF(AND(E289="",F289=""),0,MAX(0,IFERROR(E289+0,0)+IFERROR(F289+0,0)-IFERROR(G289+0,0))))</f>
        <v/>
      </c>
      <c r="I289" s="61" t="n"/>
      <c r="J289" s="37">
        <f>IF(OR(B289="",H289=0),"-",RANK.EQ(H289,$H$282:$H$289,0))</f>
        <v/>
      </c>
    </row>
    <row r="292" ht="26" customHeight="1">
      <c r="A292" s="56" t="inlineStr">
        <is>
          <t>PARALEL (PB)  —  YILDIZ ERKEKLER</t>
        </is>
      </c>
    </row>
    <row r="293" ht="26" customHeight="1">
      <c r="A293" s="27" t="inlineStr">
        <is>
          <t>Eleme
Sırası</t>
        </is>
      </c>
      <c r="B293" s="27" t="inlineStr">
        <is>
          <t>Ad</t>
        </is>
      </c>
      <c r="C293" s="27" t="inlineStr">
        <is>
          <t>Soyad</t>
        </is>
      </c>
      <c r="D293" s="27" t="inlineStr">
        <is>
          <t>Okul / Kulüp</t>
        </is>
      </c>
      <c r="E293" s="27" t="inlineStr">
        <is>
          <t>D</t>
        </is>
      </c>
      <c r="F293" s="27" t="inlineStr">
        <is>
          <t>E</t>
        </is>
      </c>
      <c r="G293" s="27" t="inlineStr">
        <is>
          <t>ND</t>
        </is>
      </c>
      <c r="H293" s="27" t="inlineStr">
        <is>
          <t>FİNAL</t>
        </is>
      </c>
      <c r="I293" s="27" t="inlineStr">
        <is>
          <t>Dur</t>
        </is>
      </c>
      <c r="J293" s="27" t="inlineStr">
        <is>
          <t>FİN.SIRA</t>
        </is>
      </c>
    </row>
    <row r="294" ht="18" customHeight="1">
      <c r="A294" s="29" t="n">
        <v>1</v>
      </c>
      <c r="B294" s="30" t="n"/>
      <c r="C294" s="30" t="n"/>
      <c r="D294" s="31" t="n"/>
      <c r="E294" s="33" t="n"/>
      <c r="F294" s="33" t="n"/>
      <c r="G294" s="33" t="n"/>
      <c r="H294" s="34">
        <f>IF(OR(I294="G",I294="D"),0,IF(AND(E294="",F294=""),0,MAX(0,IFERROR(E294+0,0)+IFERROR(F294+0,0)-IFERROR(G294+0,0))))</f>
        <v/>
      </c>
      <c r="I294" s="35" t="n"/>
      <c r="J294" s="37">
        <f>IF(OR(B294="",H294=0),"-",RANK.EQ(H294,$H$294:$H$301,0))</f>
        <v/>
      </c>
    </row>
    <row r="295" ht="18" customHeight="1">
      <c r="A295" s="57" t="n">
        <v>2</v>
      </c>
      <c r="B295" s="58" t="n"/>
      <c r="C295" s="58" t="n"/>
      <c r="D295" s="59" t="n"/>
      <c r="E295" s="60" t="n"/>
      <c r="F295" s="60" t="n"/>
      <c r="G295" s="60" t="n"/>
      <c r="H295" s="34">
        <f>IF(OR(I295="G",I295="D"),0,IF(AND(E295="",F295=""),0,MAX(0,IFERROR(E295+0,0)+IFERROR(F295+0,0)-IFERROR(G295+0,0))))</f>
        <v/>
      </c>
      <c r="I295" s="61" t="n"/>
      <c r="J295" s="37">
        <f>IF(OR(B295="",H295=0),"-",RANK.EQ(H295,$H$294:$H$301,0))</f>
        <v/>
      </c>
    </row>
    <row r="296" ht="18" customHeight="1">
      <c r="A296" s="29" t="n">
        <v>3</v>
      </c>
      <c r="B296" s="30" t="n"/>
      <c r="C296" s="30" t="n"/>
      <c r="D296" s="31" t="n"/>
      <c r="E296" s="33" t="n"/>
      <c r="F296" s="33" t="n"/>
      <c r="G296" s="33" t="n"/>
      <c r="H296" s="34">
        <f>IF(OR(I296="G",I296="D"),0,IF(AND(E296="",F296=""),0,MAX(0,IFERROR(E296+0,0)+IFERROR(F296+0,0)-IFERROR(G296+0,0))))</f>
        <v/>
      </c>
      <c r="I296" s="35" t="n"/>
      <c r="J296" s="37">
        <f>IF(OR(B296="",H296=0),"-",RANK.EQ(H296,$H$294:$H$301,0))</f>
        <v/>
      </c>
    </row>
    <row r="297" ht="18" customHeight="1">
      <c r="A297" s="57" t="n">
        <v>4</v>
      </c>
      <c r="B297" s="58" t="n"/>
      <c r="C297" s="58" t="n"/>
      <c r="D297" s="59" t="n"/>
      <c r="E297" s="60" t="n"/>
      <c r="F297" s="60" t="n"/>
      <c r="G297" s="60" t="n"/>
      <c r="H297" s="34">
        <f>IF(OR(I297="G",I297="D"),0,IF(AND(E297="",F297=""),0,MAX(0,IFERROR(E297+0,0)+IFERROR(F297+0,0)-IFERROR(G297+0,0))))</f>
        <v/>
      </c>
      <c r="I297" s="61" t="n"/>
      <c r="J297" s="37">
        <f>IF(OR(B297="",H297=0),"-",RANK.EQ(H297,$H$294:$H$301,0))</f>
        <v/>
      </c>
    </row>
    <row r="298" ht="18" customHeight="1">
      <c r="A298" s="29" t="n">
        <v>5</v>
      </c>
      <c r="B298" s="30" t="n"/>
      <c r="C298" s="30" t="n"/>
      <c r="D298" s="31" t="n"/>
      <c r="E298" s="33" t="n"/>
      <c r="F298" s="33" t="n"/>
      <c r="G298" s="33" t="n"/>
      <c r="H298" s="34">
        <f>IF(OR(I298="G",I298="D"),0,IF(AND(E298="",F298=""),0,MAX(0,IFERROR(E298+0,0)+IFERROR(F298+0,0)-IFERROR(G298+0,0))))</f>
        <v/>
      </c>
      <c r="I298" s="35" t="n"/>
      <c r="J298" s="37">
        <f>IF(OR(B298="",H298=0),"-",RANK.EQ(H298,$H$294:$H$301,0))</f>
        <v/>
      </c>
    </row>
    <row r="299" ht="18" customHeight="1">
      <c r="A299" s="57" t="n">
        <v>6</v>
      </c>
      <c r="B299" s="58" t="n"/>
      <c r="C299" s="58" t="n"/>
      <c r="D299" s="59" t="n"/>
      <c r="E299" s="60" t="n"/>
      <c r="F299" s="60" t="n"/>
      <c r="G299" s="60" t="n"/>
      <c r="H299" s="34">
        <f>IF(OR(I299="G",I299="D"),0,IF(AND(E299="",F299=""),0,MAX(0,IFERROR(E299+0,0)+IFERROR(F299+0,0)-IFERROR(G299+0,0))))</f>
        <v/>
      </c>
      <c r="I299" s="61" t="n"/>
      <c r="J299" s="37">
        <f>IF(OR(B299="",H299=0),"-",RANK.EQ(H299,$H$294:$H$301,0))</f>
        <v/>
      </c>
    </row>
    <row r="300" ht="18" customHeight="1">
      <c r="A300" s="29" t="n">
        <v>7</v>
      </c>
      <c r="B300" s="30" t="n"/>
      <c r="C300" s="30" t="n"/>
      <c r="D300" s="31" t="n"/>
      <c r="E300" s="33" t="n"/>
      <c r="F300" s="33" t="n"/>
      <c r="G300" s="33" t="n"/>
      <c r="H300" s="34">
        <f>IF(OR(I300="G",I300="D"),0,IF(AND(E300="",F300=""),0,MAX(0,IFERROR(E300+0,0)+IFERROR(F300+0,0)-IFERROR(G300+0,0))))</f>
        <v/>
      </c>
      <c r="I300" s="35" t="n"/>
      <c r="J300" s="37">
        <f>IF(OR(B300="",H300=0),"-",RANK.EQ(H300,$H$294:$H$301,0))</f>
        <v/>
      </c>
    </row>
    <row r="301" ht="18" customHeight="1">
      <c r="A301" s="57" t="n">
        <v>8</v>
      </c>
      <c r="B301" s="58" t="n"/>
      <c r="C301" s="58" t="n"/>
      <c r="D301" s="59" t="n"/>
      <c r="E301" s="60" t="n"/>
      <c r="F301" s="60" t="n"/>
      <c r="G301" s="60" t="n"/>
      <c r="H301" s="34">
        <f>IF(OR(I301="G",I301="D"),0,IF(AND(E301="",F301=""),0,MAX(0,IFERROR(E301+0,0)+IFERROR(F301+0,0)-IFERROR(G301+0,0))))</f>
        <v/>
      </c>
      <c r="I301" s="61" t="n"/>
      <c r="J301" s="37">
        <f>IF(OR(B301="",H301=0),"-",RANK.EQ(H301,$H$294:$H$301,0))</f>
        <v/>
      </c>
    </row>
    <row r="304" ht="26" customHeight="1">
      <c r="A304" s="56" t="inlineStr">
        <is>
          <t>BARFIKS (HB)  —  YILDIZ ERKEKLER</t>
        </is>
      </c>
    </row>
    <row r="305" ht="26" customHeight="1">
      <c r="A305" s="27" t="inlineStr">
        <is>
          <t>Eleme
Sırası</t>
        </is>
      </c>
      <c r="B305" s="27" t="inlineStr">
        <is>
          <t>Ad</t>
        </is>
      </c>
      <c r="C305" s="27" t="inlineStr">
        <is>
          <t>Soyad</t>
        </is>
      </c>
      <c r="D305" s="27" t="inlineStr">
        <is>
          <t>Okul / Kulüp</t>
        </is>
      </c>
      <c r="E305" s="27" t="inlineStr">
        <is>
          <t>D</t>
        </is>
      </c>
      <c r="F305" s="27" t="inlineStr">
        <is>
          <t>E</t>
        </is>
      </c>
      <c r="G305" s="27" t="inlineStr">
        <is>
          <t>ND</t>
        </is>
      </c>
      <c r="H305" s="27" t="inlineStr">
        <is>
          <t>FİNAL</t>
        </is>
      </c>
      <c r="I305" s="27" t="inlineStr">
        <is>
          <t>Dur</t>
        </is>
      </c>
      <c r="J305" s="27" t="inlineStr">
        <is>
          <t>FİN.SIRA</t>
        </is>
      </c>
    </row>
    <row r="306" ht="18" customHeight="1">
      <c r="A306" s="29" t="n">
        <v>1</v>
      </c>
      <c r="B306" s="30" t="n"/>
      <c r="C306" s="30" t="n"/>
      <c r="D306" s="31" t="n"/>
      <c r="E306" s="33" t="n"/>
      <c r="F306" s="33" t="n"/>
      <c r="G306" s="33" t="n"/>
      <c r="H306" s="34">
        <f>IF(OR(I306="G",I306="D"),0,IF(AND(E306="",F306=""),0,MAX(0,IFERROR(E306+0,0)+IFERROR(F306+0,0)-IFERROR(G306+0,0))))</f>
        <v/>
      </c>
      <c r="I306" s="35" t="n"/>
      <c r="J306" s="37">
        <f>IF(OR(B306="",H306=0),"-",RANK.EQ(H306,$H$306:$H$313,0))</f>
        <v/>
      </c>
    </row>
    <row r="307" ht="18" customHeight="1">
      <c r="A307" s="57" t="n">
        <v>2</v>
      </c>
      <c r="B307" s="58" t="n"/>
      <c r="C307" s="58" t="n"/>
      <c r="D307" s="59" t="n"/>
      <c r="E307" s="60" t="n"/>
      <c r="F307" s="60" t="n"/>
      <c r="G307" s="60" t="n"/>
      <c r="H307" s="34">
        <f>IF(OR(I307="G",I307="D"),0,IF(AND(E307="",F307=""),0,MAX(0,IFERROR(E307+0,0)+IFERROR(F307+0,0)-IFERROR(G307+0,0))))</f>
        <v/>
      </c>
      <c r="I307" s="61" t="n"/>
      <c r="J307" s="37">
        <f>IF(OR(B307="",H307=0),"-",RANK.EQ(H307,$H$306:$H$313,0))</f>
        <v/>
      </c>
    </row>
    <row r="308" ht="18" customHeight="1">
      <c r="A308" s="29" t="n">
        <v>3</v>
      </c>
      <c r="B308" s="30" t="n"/>
      <c r="C308" s="30" t="n"/>
      <c r="D308" s="31" t="n"/>
      <c r="E308" s="33" t="n"/>
      <c r="F308" s="33" t="n"/>
      <c r="G308" s="33" t="n"/>
      <c r="H308" s="34">
        <f>IF(OR(I308="G",I308="D"),0,IF(AND(E308="",F308=""),0,MAX(0,IFERROR(E308+0,0)+IFERROR(F308+0,0)-IFERROR(G308+0,0))))</f>
        <v/>
      </c>
      <c r="I308" s="35" t="n"/>
      <c r="J308" s="37">
        <f>IF(OR(B308="",H308=0),"-",RANK.EQ(H308,$H$306:$H$313,0))</f>
        <v/>
      </c>
    </row>
    <row r="309" ht="18" customHeight="1">
      <c r="A309" s="57" t="n">
        <v>4</v>
      </c>
      <c r="B309" s="58" t="n"/>
      <c r="C309" s="58" t="n"/>
      <c r="D309" s="59" t="n"/>
      <c r="E309" s="60" t="n"/>
      <c r="F309" s="60" t="n"/>
      <c r="G309" s="60" t="n"/>
      <c r="H309" s="34">
        <f>IF(OR(I309="G",I309="D"),0,IF(AND(E309="",F309=""),0,MAX(0,IFERROR(E309+0,0)+IFERROR(F309+0,0)-IFERROR(G309+0,0))))</f>
        <v/>
      </c>
      <c r="I309" s="61" t="n"/>
      <c r="J309" s="37">
        <f>IF(OR(B309="",H309=0),"-",RANK.EQ(H309,$H$306:$H$313,0))</f>
        <v/>
      </c>
    </row>
    <row r="310" ht="18" customHeight="1">
      <c r="A310" s="29" t="n">
        <v>5</v>
      </c>
      <c r="B310" s="30" t="n"/>
      <c r="C310" s="30" t="n"/>
      <c r="D310" s="31" t="n"/>
      <c r="E310" s="33" t="n"/>
      <c r="F310" s="33" t="n"/>
      <c r="G310" s="33" t="n"/>
      <c r="H310" s="34">
        <f>IF(OR(I310="G",I310="D"),0,IF(AND(E310="",F310=""),0,MAX(0,IFERROR(E310+0,0)+IFERROR(F310+0,0)-IFERROR(G310+0,0))))</f>
        <v/>
      </c>
      <c r="I310" s="35" t="n"/>
      <c r="J310" s="37">
        <f>IF(OR(B310="",H310=0),"-",RANK.EQ(H310,$H$306:$H$313,0))</f>
        <v/>
      </c>
    </row>
    <row r="311" ht="18" customHeight="1">
      <c r="A311" s="57" t="n">
        <v>6</v>
      </c>
      <c r="B311" s="58" t="n"/>
      <c r="C311" s="58" t="n"/>
      <c r="D311" s="59" t="n"/>
      <c r="E311" s="60" t="n"/>
      <c r="F311" s="60" t="n"/>
      <c r="G311" s="60" t="n"/>
      <c r="H311" s="34">
        <f>IF(OR(I311="G",I311="D"),0,IF(AND(E311="",F311=""),0,MAX(0,IFERROR(E311+0,0)+IFERROR(F311+0,0)-IFERROR(G311+0,0))))</f>
        <v/>
      </c>
      <c r="I311" s="61" t="n"/>
      <c r="J311" s="37">
        <f>IF(OR(B311="",H311=0),"-",RANK.EQ(H311,$H$306:$H$313,0))</f>
        <v/>
      </c>
    </row>
    <row r="312" ht="18" customHeight="1">
      <c r="A312" s="29" t="n">
        <v>7</v>
      </c>
      <c r="B312" s="30" t="n"/>
      <c r="C312" s="30" t="n"/>
      <c r="D312" s="31" t="n"/>
      <c r="E312" s="33" t="n"/>
      <c r="F312" s="33" t="n"/>
      <c r="G312" s="33" t="n"/>
      <c r="H312" s="34">
        <f>IF(OR(I312="G",I312="D"),0,IF(AND(E312="",F312=""),0,MAX(0,IFERROR(E312+0,0)+IFERROR(F312+0,0)-IFERROR(G312+0,0))))</f>
        <v/>
      </c>
      <c r="I312" s="35" t="n"/>
      <c r="J312" s="37">
        <f>IF(OR(B312="",H312=0),"-",RANK.EQ(H312,$H$306:$H$313,0))</f>
        <v/>
      </c>
    </row>
    <row r="313" ht="18" customHeight="1">
      <c r="A313" s="57" t="n">
        <v>8</v>
      </c>
      <c r="B313" s="58" t="n"/>
      <c r="C313" s="58" t="n"/>
      <c r="D313" s="59" t="n"/>
      <c r="E313" s="60" t="n"/>
      <c r="F313" s="60" t="n"/>
      <c r="G313" s="60" t="n"/>
      <c r="H313" s="34">
        <f>IF(OR(I313="G",I313="D"),0,IF(AND(E313="",F313=""),0,MAX(0,IFERROR(E313+0,0)+IFERROR(F313+0,0)-IFERROR(G313+0,0))))</f>
        <v/>
      </c>
      <c r="I313" s="61" t="n"/>
      <c r="J313" s="37">
        <f>IF(OR(B313="",H313=0),"-",RANK.EQ(H313,$H$306:$H$313,0))</f>
        <v/>
      </c>
    </row>
    <row r="316" ht="26" customHeight="1">
      <c r="A316" s="56" t="inlineStr">
        <is>
          <t>ATLAMA (VT)  —  GENÇ KIZLAR</t>
        </is>
      </c>
    </row>
    <row r="317" ht="26" customHeight="1">
      <c r="A317" s="27" t="inlineStr">
        <is>
          <t>Eleme
Sırası</t>
        </is>
      </c>
      <c r="B317" s="27" t="inlineStr">
        <is>
          <t>Ad</t>
        </is>
      </c>
      <c r="C317" s="27" t="inlineStr">
        <is>
          <t>Soyad</t>
        </is>
      </c>
      <c r="D317" s="27" t="inlineStr">
        <is>
          <t>Okul / Kulüp</t>
        </is>
      </c>
      <c r="E317" s="27" t="inlineStr">
        <is>
          <t>D</t>
        </is>
      </c>
      <c r="F317" s="27" t="inlineStr">
        <is>
          <t>E</t>
        </is>
      </c>
      <c r="G317" s="27" t="inlineStr">
        <is>
          <t>ND</t>
        </is>
      </c>
      <c r="H317" s="27" t="inlineStr">
        <is>
          <t>FİNAL</t>
        </is>
      </c>
      <c r="I317" s="27" t="inlineStr">
        <is>
          <t>Dur</t>
        </is>
      </c>
      <c r="J317" s="27" t="inlineStr">
        <is>
          <t>FİN.SIRA</t>
        </is>
      </c>
    </row>
    <row r="318" ht="18" customHeight="1">
      <c r="A318" s="29" t="n">
        <v>1</v>
      </c>
      <c r="B318" s="30" t="n"/>
      <c r="C318" s="30" t="n"/>
      <c r="D318" s="31" t="n"/>
      <c r="E318" s="33" t="n"/>
      <c r="F318" s="33" t="n"/>
      <c r="G318" s="33" t="n"/>
      <c r="H318" s="34">
        <f>IF(OR(I318="G",I318="D"),0,IF(AND(E318="",F318=""),0,MAX(0,IFERROR(E318+0,0)+IFERROR(F318+0,0)-IFERROR(G318+0,0))))</f>
        <v/>
      </c>
      <c r="I318" s="35" t="n"/>
      <c r="J318" s="37">
        <f>IF(OR(B318="",H318=0),"-",RANK.EQ(H318,$H$318:$H$325,0))</f>
        <v/>
      </c>
    </row>
    <row r="319" ht="18" customHeight="1">
      <c r="A319" s="57" t="n">
        <v>2</v>
      </c>
      <c r="B319" s="58" t="n"/>
      <c r="C319" s="58" t="n"/>
      <c r="D319" s="59" t="n"/>
      <c r="E319" s="60" t="n"/>
      <c r="F319" s="60" t="n"/>
      <c r="G319" s="60" t="n"/>
      <c r="H319" s="34">
        <f>IF(OR(I319="G",I319="D"),0,IF(AND(E319="",F319=""),0,MAX(0,IFERROR(E319+0,0)+IFERROR(F319+0,0)-IFERROR(G319+0,0))))</f>
        <v/>
      </c>
      <c r="I319" s="61" t="n"/>
      <c r="J319" s="37">
        <f>IF(OR(B319="",H319=0),"-",RANK.EQ(H319,$H$318:$H$325,0))</f>
        <v/>
      </c>
    </row>
    <row r="320" ht="18" customHeight="1">
      <c r="A320" s="29" t="n">
        <v>3</v>
      </c>
      <c r="B320" s="30" t="n"/>
      <c r="C320" s="30" t="n"/>
      <c r="D320" s="31" t="n"/>
      <c r="E320" s="33" t="n"/>
      <c r="F320" s="33" t="n"/>
      <c r="G320" s="33" t="n"/>
      <c r="H320" s="34">
        <f>IF(OR(I320="G",I320="D"),0,IF(AND(E320="",F320=""),0,MAX(0,IFERROR(E320+0,0)+IFERROR(F320+0,0)-IFERROR(G320+0,0))))</f>
        <v/>
      </c>
      <c r="I320" s="35" t="n"/>
      <c r="J320" s="37">
        <f>IF(OR(B320="",H320=0),"-",RANK.EQ(H320,$H$318:$H$325,0))</f>
        <v/>
      </c>
    </row>
    <row r="321" ht="18" customHeight="1">
      <c r="A321" s="57" t="n">
        <v>4</v>
      </c>
      <c r="B321" s="58" t="n"/>
      <c r="C321" s="58" t="n"/>
      <c r="D321" s="59" t="n"/>
      <c r="E321" s="60" t="n"/>
      <c r="F321" s="60" t="n"/>
      <c r="G321" s="60" t="n"/>
      <c r="H321" s="34">
        <f>IF(OR(I321="G",I321="D"),0,IF(AND(E321="",F321=""),0,MAX(0,IFERROR(E321+0,0)+IFERROR(F321+0,0)-IFERROR(G321+0,0))))</f>
        <v/>
      </c>
      <c r="I321" s="61" t="n"/>
      <c r="J321" s="37">
        <f>IF(OR(B321="",H321=0),"-",RANK.EQ(H321,$H$318:$H$325,0))</f>
        <v/>
      </c>
    </row>
    <row r="322" ht="18" customHeight="1">
      <c r="A322" s="29" t="n">
        <v>5</v>
      </c>
      <c r="B322" s="30" t="n"/>
      <c r="C322" s="30" t="n"/>
      <c r="D322" s="31" t="n"/>
      <c r="E322" s="33" t="n"/>
      <c r="F322" s="33" t="n"/>
      <c r="G322" s="33" t="n"/>
      <c r="H322" s="34">
        <f>IF(OR(I322="G",I322="D"),0,IF(AND(E322="",F322=""),0,MAX(0,IFERROR(E322+0,0)+IFERROR(F322+0,0)-IFERROR(G322+0,0))))</f>
        <v/>
      </c>
      <c r="I322" s="35" t="n"/>
      <c r="J322" s="37">
        <f>IF(OR(B322="",H322=0),"-",RANK.EQ(H322,$H$318:$H$325,0))</f>
        <v/>
      </c>
    </row>
    <row r="323" ht="18" customHeight="1">
      <c r="A323" s="57" t="n">
        <v>6</v>
      </c>
      <c r="B323" s="58" t="n"/>
      <c r="C323" s="58" t="n"/>
      <c r="D323" s="59" t="n"/>
      <c r="E323" s="60" t="n"/>
      <c r="F323" s="60" t="n"/>
      <c r="G323" s="60" t="n"/>
      <c r="H323" s="34">
        <f>IF(OR(I323="G",I323="D"),0,IF(AND(E323="",F323=""),0,MAX(0,IFERROR(E323+0,0)+IFERROR(F323+0,0)-IFERROR(G323+0,0))))</f>
        <v/>
      </c>
      <c r="I323" s="61" t="n"/>
      <c r="J323" s="37">
        <f>IF(OR(B323="",H323=0),"-",RANK.EQ(H323,$H$318:$H$325,0))</f>
        <v/>
      </c>
    </row>
    <row r="324" ht="18" customHeight="1">
      <c r="A324" s="29" t="n">
        <v>7</v>
      </c>
      <c r="B324" s="30" t="n"/>
      <c r="C324" s="30" t="n"/>
      <c r="D324" s="31" t="n"/>
      <c r="E324" s="33" t="n"/>
      <c r="F324" s="33" t="n"/>
      <c r="G324" s="33" t="n"/>
      <c r="H324" s="34">
        <f>IF(OR(I324="G",I324="D"),0,IF(AND(E324="",F324=""),0,MAX(0,IFERROR(E324+0,0)+IFERROR(F324+0,0)-IFERROR(G324+0,0))))</f>
        <v/>
      </c>
      <c r="I324" s="35" t="n"/>
      <c r="J324" s="37">
        <f>IF(OR(B324="",H324=0),"-",RANK.EQ(H324,$H$318:$H$325,0))</f>
        <v/>
      </c>
    </row>
    <row r="325" ht="18" customHeight="1">
      <c r="A325" s="57" t="n">
        <v>8</v>
      </c>
      <c r="B325" s="58" t="n"/>
      <c r="C325" s="58" t="n"/>
      <c r="D325" s="59" t="n"/>
      <c r="E325" s="60" t="n"/>
      <c r="F325" s="60" t="n"/>
      <c r="G325" s="60" t="n"/>
      <c r="H325" s="34">
        <f>IF(OR(I325="G",I325="D"),0,IF(AND(E325="",F325=""),0,MAX(0,IFERROR(E325+0,0)+IFERROR(F325+0,0)-IFERROR(G325+0,0))))</f>
        <v/>
      </c>
      <c r="I325" s="61" t="n"/>
      <c r="J325" s="37">
        <f>IF(OR(B325="",H325=0),"-",RANK.EQ(H325,$H$318:$H$325,0))</f>
        <v/>
      </c>
    </row>
    <row r="328" ht="26" customHeight="1">
      <c r="A328" s="56" t="inlineStr">
        <is>
          <t>AS.PARALEL (UB)  —  GENÇ KIZLAR</t>
        </is>
      </c>
    </row>
    <row r="329" ht="26" customHeight="1">
      <c r="A329" s="27" t="inlineStr">
        <is>
          <t>Eleme
Sırası</t>
        </is>
      </c>
      <c r="B329" s="27" t="inlineStr">
        <is>
          <t>Ad</t>
        </is>
      </c>
      <c r="C329" s="27" t="inlineStr">
        <is>
          <t>Soyad</t>
        </is>
      </c>
      <c r="D329" s="27" t="inlineStr">
        <is>
          <t>Okul / Kulüp</t>
        </is>
      </c>
      <c r="E329" s="27" t="inlineStr">
        <is>
          <t>D</t>
        </is>
      </c>
      <c r="F329" s="27" t="inlineStr">
        <is>
          <t>E</t>
        </is>
      </c>
      <c r="G329" s="27" t="inlineStr">
        <is>
          <t>ND</t>
        </is>
      </c>
      <c r="H329" s="27" t="inlineStr">
        <is>
          <t>FİNAL</t>
        </is>
      </c>
      <c r="I329" s="27" t="inlineStr">
        <is>
          <t>Dur</t>
        </is>
      </c>
      <c r="J329" s="27" t="inlineStr">
        <is>
          <t>FİN.SIRA</t>
        </is>
      </c>
    </row>
    <row r="330" ht="18" customHeight="1">
      <c r="A330" s="29" t="n">
        <v>1</v>
      </c>
      <c r="B330" s="30" t="n"/>
      <c r="C330" s="30" t="n"/>
      <c r="D330" s="31" t="n"/>
      <c r="E330" s="33" t="n"/>
      <c r="F330" s="33" t="n"/>
      <c r="G330" s="33" t="n"/>
      <c r="H330" s="34">
        <f>IF(OR(I330="G",I330="D"),0,IF(AND(E330="",F330=""),0,MAX(0,IFERROR(E330+0,0)+IFERROR(F330+0,0)-IFERROR(G330+0,0))))</f>
        <v/>
      </c>
      <c r="I330" s="35" t="n"/>
      <c r="J330" s="37">
        <f>IF(OR(B330="",H330=0),"-",RANK.EQ(H330,$H$330:$H$337,0))</f>
        <v/>
      </c>
    </row>
    <row r="331" ht="18" customHeight="1">
      <c r="A331" s="57" t="n">
        <v>2</v>
      </c>
      <c r="B331" s="58" t="n"/>
      <c r="C331" s="58" t="n"/>
      <c r="D331" s="59" t="n"/>
      <c r="E331" s="60" t="n"/>
      <c r="F331" s="60" t="n"/>
      <c r="G331" s="60" t="n"/>
      <c r="H331" s="34">
        <f>IF(OR(I331="G",I331="D"),0,IF(AND(E331="",F331=""),0,MAX(0,IFERROR(E331+0,0)+IFERROR(F331+0,0)-IFERROR(G331+0,0))))</f>
        <v/>
      </c>
      <c r="I331" s="61" t="n"/>
      <c r="J331" s="37">
        <f>IF(OR(B331="",H331=0),"-",RANK.EQ(H331,$H$330:$H$337,0))</f>
        <v/>
      </c>
    </row>
    <row r="332" ht="18" customHeight="1">
      <c r="A332" s="29" t="n">
        <v>3</v>
      </c>
      <c r="B332" s="30" t="n"/>
      <c r="C332" s="30" t="n"/>
      <c r="D332" s="31" t="n"/>
      <c r="E332" s="33" t="n"/>
      <c r="F332" s="33" t="n"/>
      <c r="G332" s="33" t="n"/>
      <c r="H332" s="34">
        <f>IF(OR(I332="G",I332="D"),0,IF(AND(E332="",F332=""),0,MAX(0,IFERROR(E332+0,0)+IFERROR(F332+0,0)-IFERROR(G332+0,0))))</f>
        <v/>
      </c>
      <c r="I332" s="35" t="n"/>
      <c r="J332" s="37">
        <f>IF(OR(B332="",H332=0),"-",RANK.EQ(H332,$H$330:$H$337,0))</f>
        <v/>
      </c>
    </row>
    <row r="333" ht="18" customHeight="1">
      <c r="A333" s="57" t="n">
        <v>4</v>
      </c>
      <c r="B333" s="58" t="n"/>
      <c r="C333" s="58" t="n"/>
      <c r="D333" s="59" t="n"/>
      <c r="E333" s="60" t="n"/>
      <c r="F333" s="60" t="n"/>
      <c r="G333" s="60" t="n"/>
      <c r="H333" s="34">
        <f>IF(OR(I333="G",I333="D"),0,IF(AND(E333="",F333=""),0,MAX(0,IFERROR(E333+0,0)+IFERROR(F333+0,0)-IFERROR(G333+0,0))))</f>
        <v/>
      </c>
      <c r="I333" s="61" t="n"/>
      <c r="J333" s="37">
        <f>IF(OR(B333="",H333=0),"-",RANK.EQ(H333,$H$330:$H$337,0))</f>
        <v/>
      </c>
    </row>
    <row r="334" ht="18" customHeight="1">
      <c r="A334" s="29" t="n">
        <v>5</v>
      </c>
      <c r="B334" s="30" t="n"/>
      <c r="C334" s="30" t="n"/>
      <c r="D334" s="31" t="n"/>
      <c r="E334" s="33" t="n"/>
      <c r="F334" s="33" t="n"/>
      <c r="G334" s="33" t="n"/>
      <c r="H334" s="34">
        <f>IF(OR(I334="G",I334="D"),0,IF(AND(E334="",F334=""),0,MAX(0,IFERROR(E334+0,0)+IFERROR(F334+0,0)-IFERROR(G334+0,0))))</f>
        <v/>
      </c>
      <c r="I334" s="35" t="n"/>
      <c r="J334" s="37">
        <f>IF(OR(B334="",H334=0),"-",RANK.EQ(H334,$H$330:$H$337,0))</f>
        <v/>
      </c>
    </row>
    <row r="335" ht="18" customHeight="1">
      <c r="A335" s="57" t="n">
        <v>6</v>
      </c>
      <c r="B335" s="58" t="n"/>
      <c r="C335" s="58" t="n"/>
      <c r="D335" s="59" t="n"/>
      <c r="E335" s="60" t="n"/>
      <c r="F335" s="60" t="n"/>
      <c r="G335" s="60" t="n"/>
      <c r="H335" s="34">
        <f>IF(OR(I335="G",I335="D"),0,IF(AND(E335="",F335=""),0,MAX(0,IFERROR(E335+0,0)+IFERROR(F335+0,0)-IFERROR(G335+0,0))))</f>
        <v/>
      </c>
      <c r="I335" s="61" t="n"/>
      <c r="J335" s="37">
        <f>IF(OR(B335="",H335=0),"-",RANK.EQ(H335,$H$330:$H$337,0))</f>
        <v/>
      </c>
    </row>
    <row r="336" ht="18" customHeight="1">
      <c r="A336" s="29" t="n">
        <v>7</v>
      </c>
      <c r="B336" s="30" t="n"/>
      <c r="C336" s="30" t="n"/>
      <c r="D336" s="31" t="n"/>
      <c r="E336" s="33" t="n"/>
      <c r="F336" s="33" t="n"/>
      <c r="G336" s="33" t="n"/>
      <c r="H336" s="34">
        <f>IF(OR(I336="G",I336="D"),0,IF(AND(E336="",F336=""),0,MAX(0,IFERROR(E336+0,0)+IFERROR(F336+0,0)-IFERROR(G336+0,0))))</f>
        <v/>
      </c>
      <c r="I336" s="35" t="n"/>
      <c r="J336" s="37">
        <f>IF(OR(B336="",H336=0),"-",RANK.EQ(H336,$H$330:$H$337,0))</f>
        <v/>
      </c>
    </row>
    <row r="337" ht="18" customHeight="1">
      <c r="A337" s="57" t="n">
        <v>8</v>
      </c>
      <c r="B337" s="58" t="n"/>
      <c r="C337" s="58" t="n"/>
      <c r="D337" s="59" t="n"/>
      <c r="E337" s="60" t="n"/>
      <c r="F337" s="60" t="n"/>
      <c r="G337" s="60" t="n"/>
      <c r="H337" s="34">
        <f>IF(OR(I337="G",I337="D"),0,IF(AND(E337="",F337=""),0,MAX(0,IFERROR(E337+0,0)+IFERROR(F337+0,0)-IFERROR(G337+0,0))))</f>
        <v/>
      </c>
      <c r="I337" s="61" t="n"/>
      <c r="J337" s="37">
        <f>IF(OR(B337="",H337=0),"-",RANK.EQ(H337,$H$330:$H$337,0))</f>
        <v/>
      </c>
    </row>
    <row r="340" ht="26" customHeight="1">
      <c r="A340" s="56" t="inlineStr">
        <is>
          <t>DENGE (BB)  —  GENÇ KIZLAR</t>
        </is>
      </c>
    </row>
    <row r="341" ht="26" customHeight="1">
      <c r="A341" s="27" t="inlineStr">
        <is>
          <t>Eleme
Sırası</t>
        </is>
      </c>
      <c r="B341" s="27" t="inlineStr">
        <is>
          <t>Ad</t>
        </is>
      </c>
      <c r="C341" s="27" t="inlineStr">
        <is>
          <t>Soyad</t>
        </is>
      </c>
      <c r="D341" s="27" t="inlineStr">
        <is>
          <t>Okul / Kulüp</t>
        </is>
      </c>
      <c r="E341" s="27" t="inlineStr">
        <is>
          <t>D</t>
        </is>
      </c>
      <c r="F341" s="27" t="inlineStr">
        <is>
          <t>E</t>
        </is>
      </c>
      <c r="G341" s="27" t="inlineStr">
        <is>
          <t>ND</t>
        </is>
      </c>
      <c r="H341" s="27" t="inlineStr">
        <is>
          <t>FİNAL</t>
        </is>
      </c>
      <c r="I341" s="27" t="inlineStr">
        <is>
          <t>Dur</t>
        </is>
      </c>
      <c r="J341" s="27" t="inlineStr">
        <is>
          <t>FİN.SIRA</t>
        </is>
      </c>
    </row>
    <row r="342" ht="18" customHeight="1">
      <c r="A342" s="29" t="n">
        <v>1</v>
      </c>
      <c r="B342" s="30" t="n"/>
      <c r="C342" s="30" t="n"/>
      <c r="D342" s="31" t="n"/>
      <c r="E342" s="33" t="n"/>
      <c r="F342" s="33" t="n"/>
      <c r="G342" s="33" t="n"/>
      <c r="H342" s="34">
        <f>IF(OR(I342="G",I342="D"),0,IF(AND(E342="",F342=""),0,MAX(0,IFERROR(E342+0,0)+IFERROR(F342+0,0)-IFERROR(G342+0,0))))</f>
        <v/>
      </c>
      <c r="I342" s="35" t="n"/>
      <c r="J342" s="37">
        <f>IF(OR(B342="",H342=0),"-",RANK.EQ(H342,$H$342:$H$349,0))</f>
        <v/>
      </c>
    </row>
    <row r="343" ht="18" customHeight="1">
      <c r="A343" s="57" t="n">
        <v>2</v>
      </c>
      <c r="B343" s="58" t="n"/>
      <c r="C343" s="58" t="n"/>
      <c r="D343" s="59" t="n"/>
      <c r="E343" s="60" t="n"/>
      <c r="F343" s="60" t="n"/>
      <c r="G343" s="60" t="n"/>
      <c r="H343" s="34">
        <f>IF(OR(I343="G",I343="D"),0,IF(AND(E343="",F343=""),0,MAX(0,IFERROR(E343+0,0)+IFERROR(F343+0,0)-IFERROR(G343+0,0))))</f>
        <v/>
      </c>
      <c r="I343" s="61" t="n"/>
      <c r="J343" s="37">
        <f>IF(OR(B343="",H343=0),"-",RANK.EQ(H343,$H$342:$H$349,0))</f>
        <v/>
      </c>
    </row>
    <row r="344" ht="18" customHeight="1">
      <c r="A344" s="29" t="n">
        <v>3</v>
      </c>
      <c r="B344" s="30" t="n"/>
      <c r="C344" s="30" t="n"/>
      <c r="D344" s="31" t="n"/>
      <c r="E344" s="33" t="n"/>
      <c r="F344" s="33" t="n"/>
      <c r="G344" s="33" t="n"/>
      <c r="H344" s="34">
        <f>IF(OR(I344="G",I344="D"),0,IF(AND(E344="",F344=""),0,MAX(0,IFERROR(E344+0,0)+IFERROR(F344+0,0)-IFERROR(G344+0,0))))</f>
        <v/>
      </c>
      <c r="I344" s="35" t="n"/>
      <c r="J344" s="37">
        <f>IF(OR(B344="",H344=0),"-",RANK.EQ(H344,$H$342:$H$349,0))</f>
        <v/>
      </c>
    </row>
    <row r="345" ht="18" customHeight="1">
      <c r="A345" s="57" t="n">
        <v>4</v>
      </c>
      <c r="B345" s="58" t="n"/>
      <c r="C345" s="58" t="n"/>
      <c r="D345" s="59" t="n"/>
      <c r="E345" s="60" t="n"/>
      <c r="F345" s="60" t="n"/>
      <c r="G345" s="60" t="n"/>
      <c r="H345" s="34">
        <f>IF(OR(I345="G",I345="D"),0,IF(AND(E345="",F345=""),0,MAX(0,IFERROR(E345+0,0)+IFERROR(F345+0,0)-IFERROR(G345+0,0))))</f>
        <v/>
      </c>
      <c r="I345" s="61" t="n"/>
      <c r="J345" s="37">
        <f>IF(OR(B345="",H345=0),"-",RANK.EQ(H345,$H$342:$H$349,0))</f>
        <v/>
      </c>
    </row>
    <row r="346" ht="18" customHeight="1">
      <c r="A346" s="29" t="n">
        <v>5</v>
      </c>
      <c r="B346" s="30" t="n"/>
      <c r="C346" s="30" t="n"/>
      <c r="D346" s="31" t="n"/>
      <c r="E346" s="33" t="n"/>
      <c r="F346" s="33" t="n"/>
      <c r="G346" s="33" t="n"/>
      <c r="H346" s="34">
        <f>IF(OR(I346="G",I346="D"),0,IF(AND(E346="",F346=""),0,MAX(0,IFERROR(E346+0,0)+IFERROR(F346+0,0)-IFERROR(G346+0,0))))</f>
        <v/>
      </c>
      <c r="I346" s="35" t="n"/>
      <c r="J346" s="37">
        <f>IF(OR(B346="",H346=0),"-",RANK.EQ(H346,$H$342:$H$349,0))</f>
        <v/>
      </c>
    </row>
    <row r="347" ht="18" customHeight="1">
      <c r="A347" s="57" t="n">
        <v>6</v>
      </c>
      <c r="B347" s="58" t="n"/>
      <c r="C347" s="58" t="n"/>
      <c r="D347" s="59" t="n"/>
      <c r="E347" s="60" t="n"/>
      <c r="F347" s="60" t="n"/>
      <c r="G347" s="60" t="n"/>
      <c r="H347" s="34">
        <f>IF(OR(I347="G",I347="D"),0,IF(AND(E347="",F347=""),0,MAX(0,IFERROR(E347+0,0)+IFERROR(F347+0,0)-IFERROR(G347+0,0))))</f>
        <v/>
      </c>
      <c r="I347" s="61" t="n"/>
      <c r="J347" s="37">
        <f>IF(OR(B347="",H347=0),"-",RANK.EQ(H347,$H$342:$H$349,0))</f>
        <v/>
      </c>
    </row>
    <row r="348" ht="18" customHeight="1">
      <c r="A348" s="29" t="n">
        <v>7</v>
      </c>
      <c r="B348" s="30" t="n"/>
      <c r="C348" s="30" t="n"/>
      <c r="D348" s="31" t="n"/>
      <c r="E348" s="33" t="n"/>
      <c r="F348" s="33" t="n"/>
      <c r="G348" s="33" t="n"/>
      <c r="H348" s="34">
        <f>IF(OR(I348="G",I348="D"),0,IF(AND(E348="",F348=""),0,MAX(0,IFERROR(E348+0,0)+IFERROR(F348+0,0)-IFERROR(G348+0,0))))</f>
        <v/>
      </c>
      <c r="I348" s="35" t="n"/>
      <c r="J348" s="37">
        <f>IF(OR(B348="",H348=0),"-",RANK.EQ(H348,$H$342:$H$349,0))</f>
        <v/>
      </c>
    </row>
    <row r="349" ht="18" customHeight="1">
      <c r="A349" s="57" t="n">
        <v>8</v>
      </c>
      <c r="B349" s="58" t="n"/>
      <c r="C349" s="58" t="n"/>
      <c r="D349" s="59" t="n"/>
      <c r="E349" s="60" t="n"/>
      <c r="F349" s="60" t="n"/>
      <c r="G349" s="60" t="n"/>
      <c r="H349" s="34">
        <f>IF(OR(I349="G",I349="D"),0,IF(AND(E349="",F349=""),0,MAX(0,IFERROR(E349+0,0)+IFERROR(F349+0,0)-IFERROR(G349+0,0))))</f>
        <v/>
      </c>
      <c r="I349" s="61" t="n"/>
      <c r="J349" s="37">
        <f>IF(OR(B349="",H349=0),"-",RANK.EQ(H349,$H$342:$H$349,0))</f>
        <v/>
      </c>
    </row>
    <row r="352" ht="26" customHeight="1">
      <c r="A352" s="56" t="inlineStr">
        <is>
          <t>SERBEST (FX)  —  GENÇ KIZLAR</t>
        </is>
      </c>
    </row>
    <row r="353" ht="26" customHeight="1">
      <c r="A353" s="27" t="inlineStr">
        <is>
          <t>Eleme
Sırası</t>
        </is>
      </c>
      <c r="B353" s="27" t="inlineStr">
        <is>
          <t>Ad</t>
        </is>
      </c>
      <c r="C353" s="27" t="inlineStr">
        <is>
          <t>Soyad</t>
        </is>
      </c>
      <c r="D353" s="27" t="inlineStr">
        <is>
          <t>Okul / Kulüp</t>
        </is>
      </c>
      <c r="E353" s="27" t="inlineStr">
        <is>
          <t>D</t>
        </is>
      </c>
      <c r="F353" s="27" t="inlineStr">
        <is>
          <t>E</t>
        </is>
      </c>
      <c r="G353" s="27" t="inlineStr">
        <is>
          <t>ND</t>
        </is>
      </c>
      <c r="H353" s="27" t="inlineStr">
        <is>
          <t>FİNAL</t>
        </is>
      </c>
      <c r="I353" s="27" t="inlineStr">
        <is>
          <t>Dur</t>
        </is>
      </c>
      <c r="J353" s="27" t="inlineStr">
        <is>
          <t>FİN.SIRA</t>
        </is>
      </c>
    </row>
    <row r="354" ht="18" customHeight="1">
      <c r="A354" s="29" t="n">
        <v>1</v>
      </c>
      <c r="B354" s="30" t="n"/>
      <c r="C354" s="30" t="n"/>
      <c r="D354" s="31" t="n"/>
      <c r="E354" s="33" t="n"/>
      <c r="F354" s="33" t="n"/>
      <c r="G354" s="33" t="n"/>
      <c r="H354" s="34">
        <f>IF(OR(I354="G",I354="D"),0,IF(AND(E354="",F354=""),0,MAX(0,IFERROR(E354+0,0)+IFERROR(F354+0,0)-IFERROR(G354+0,0))))</f>
        <v/>
      </c>
      <c r="I354" s="35" t="n"/>
      <c r="J354" s="37">
        <f>IF(OR(B354="",H354=0),"-",RANK.EQ(H354,$H$354:$H$361,0))</f>
        <v/>
      </c>
    </row>
    <row r="355" ht="18" customHeight="1">
      <c r="A355" s="57" t="n">
        <v>2</v>
      </c>
      <c r="B355" s="58" t="n"/>
      <c r="C355" s="58" t="n"/>
      <c r="D355" s="59" t="n"/>
      <c r="E355" s="60" t="n"/>
      <c r="F355" s="60" t="n"/>
      <c r="G355" s="60" t="n"/>
      <c r="H355" s="34">
        <f>IF(OR(I355="G",I355="D"),0,IF(AND(E355="",F355=""),0,MAX(0,IFERROR(E355+0,0)+IFERROR(F355+0,0)-IFERROR(G355+0,0))))</f>
        <v/>
      </c>
      <c r="I355" s="61" t="n"/>
      <c r="J355" s="37">
        <f>IF(OR(B355="",H355=0),"-",RANK.EQ(H355,$H$354:$H$361,0))</f>
        <v/>
      </c>
    </row>
    <row r="356" ht="18" customHeight="1">
      <c r="A356" s="29" t="n">
        <v>3</v>
      </c>
      <c r="B356" s="30" t="n"/>
      <c r="C356" s="30" t="n"/>
      <c r="D356" s="31" t="n"/>
      <c r="E356" s="33" t="n"/>
      <c r="F356" s="33" t="n"/>
      <c r="G356" s="33" t="n"/>
      <c r="H356" s="34">
        <f>IF(OR(I356="G",I356="D"),0,IF(AND(E356="",F356=""),0,MAX(0,IFERROR(E356+0,0)+IFERROR(F356+0,0)-IFERROR(G356+0,0))))</f>
        <v/>
      </c>
      <c r="I356" s="35" t="n"/>
      <c r="J356" s="37">
        <f>IF(OR(B356="",H356=0),"-",RANK.EQ(H356,$H$354:$H$361,0))</f>
        <v/>
      </c>
    </row>
    <row r="357" ht="18" customHeight="1">
      <c r="A357" s="57" t="n">
        <v>4</v>
      </c>
      <c r="B357" s="58" t="n"/>
      <c r="C357" s="58" t="n"/>
      <c r="D357" s="59" t="n"/>
      <c r="E357" s="60" t="n"/>
      <c r="F357" s="60" t="n"/>
      <c r="G357" s="60" t="n"/>
      <c r="H357" s="34">
        <f>IF(OR(I357="G",I357="D"),0,IF(AND(E357="",F357=""),0,MAX(0,IFERROR(E357+0,0)+IFERROR(F357+0,0)-IFERROR(G357+0,0))))</f>
        <v/>
      </c>
      <c r="I357" s="61" t="n"/>
      <c r="J357" s="37">
        <f>IF(OR(B357="",H357=0),"-",RANK.EQ(H357,$H$354:$H$361,0))</f>
        <v/>
      </c>
    </row>
    <row r="358" ht="18" customHeight="1">
      <c r="A358" s="29" t="n">
        <v>5</v>
      </c>
      <c r="B358" s="30" t="n"/>
      <c r="C358" s="30" t="n"/>
      <c r="D358" s="31" t="n"/>
      <c r="E358" s="33" t="n"/>
      <c r="F358" s="33" t="n"/>
      <c r="G358" s="33" t="n"/>
      <c r="H358" s="34">
        <f>IF(OR(I358="G",I358="D"),0,IF(AND(E358="",F358=""),0,MAX(0,IFERROR(E358+0,0)+IFERROR(F358+0,0)-IFERROR(G358+0,0))))</f>
        <v/>
      </c>
      <c r="I358" s="35" t="n"/>
      <c r="J358" s="37">
        <f>IF(OR(B358="",H358=0),"-",RANK.EQ(H358,$H$354:$H$361,0))</f>
        <v/>
      </c>
    </row>
    <row r="359" ht="18" customHeight="1">
      <c r="A359" s="57" t="n">
        <v>6</v>
      </c>
      <c r="B359" s="58" t="n"/>
      <c r="C359" s="58" t="n"/>
      <c r="D359" s="59" t="n"/>
      <c r="E359" s="60" t="n"/>
      <c r="F359" s="60" t="n"/>
      <c r="G359" s="60" t="n"/>
      <c r="H359" s="34">
        <f>IF(OR(I359="G",I359="D"),0,IF(AND(E359="",F359=""),0,MAX(0,IFERROR(E359+0,0)+IFERROR(F359+0,0)-IFERROR(G359+0,0))))</f>
        <v/>
      </c>
      <c r="I359" s="61" t="n"/>
      <c r="J359" s="37">
        <f>IF(OR(B359="",H359=0),"-",RANK.EQ(H359,$H$354:$H$361,0))</f>
        <v/>
      </c>
    </row>
    <row r="360" ht="18" customHeight="1">
      <c r="A360" s="29" t="n">
        <v>7</v>
      </c>
      <c r="B360" s="30" t="n"/>
      <c r="C360" s="30" t="n"/>
      <c r="D360" s="31" t="n"/>
      <c r="E360" s="33" t="n"/>
      <c r="F360" s="33" t="n"/>
      <c r="G360" s="33" t="n"/>
      <c r="H360" s="34">
        <f>IF(OR(I360="G",I360="D"),0,IF(AND(E360="",F360=""),0,MAX(0,IFERROR(E360+0,0)+IFERROR(F360+0,0)-IFERROR(G360+0,0))))</f>
        <v/>
      </c>
      <c r="I360" s="35" t="n"/>
      <c r="J360" s="37">
        <f>IF(OR(B360="",H360=0),"-",RANK.EQ(H360,$H$354:$H$361,0))</f>
        <v/>
      </c>
    </row>
    <row r="361" ht="18" customHeight="1">
      <c r="A361" s="57" t="n">
        <v>8</v>
      </c>
      <c r="B361" s="58" t="n"/>
      <c r="C361" s="58" t="n"/>
      <c r="D361" s="59" t="n"/>
      <c r="E361" s="60" t="n"/>
      <c r="F361" s="60" t="n"/>
      <c r="G361" s="60" t="n"/>
      <c r="H361" s="34">
        <f>IF(OR(I361="G",I361="D"),0,IF(AND(E361="",F361=""),0,MAX(0,IFERROR(E361+0,0)+IFERROR(F361+0,0)-IFERROR(G361+0,0))))</f>
        <v/>
      </c>
      <c r="I361" s="61" t="n"/>
      <c r="J361" s="37">
        <f>IF(OR(B361="",H361=0),"-",RANK.EQ(H361,$H$354:$H$361,0))</f>
        <v/>
      </c>
    </row>
    <row r="364" ht="26" customHeight="1">
      <c r="A364" s="56" t="inlineStr">
        <is>
          <t>YER (FX)  —  GENÇ ERKEKLER</t>
        </is>
      </c>
    </row>
    <row r="365" ht="26" customHeight="1">
      <c r="A365" s="27" t="inlineStr">
        <is>
          <t>Eleme
Sırası</t>
        </is>
      </c>
      <c r="B365" s="27" t="inlineStr">
        <is>
          <t>Ad</t>
        </is>
      </c>
      <c r="C365" s="27" t="inlineStr">
        <is>
          <t>Soyad</t>
        </is>
      </c>
      <c r="D365" s="27" t="inlineStr">
        <is>
          <t>Okul / Kulüp</t>
        </is>
      </c>
      <c r="E365" s="27" t="inlineStr">
        <is>
          <t>D</t>
        </is>
      </c>
      <c r="F365" s="27" t="inlineStr">
        <is>
          <t>E</t>
        </is>
      </c>
      <c r="G365" s="27" t="inlineStr">
        <is>
          <t>ND</t>
        </is>
      </c>
      <c r="H365" s="27" t="inlineStr">
        <is>
          <t>FİNAL</t>
        </is>
      </c>
      <c r="I365" s="27" t="inlineStr">
        <is>
          <t>Dur</t>
        </is>
      </c>
      <c r="J365" s="27" t="inlineStr">
        <is>
          <t>FİN.SIRA</t>
        </is>
      </c>
    </row>
    <row r="366" ht="18" customHeight="1">
      <c r="A366" s="29" t="n">
        <v>1</v>
      </c>
      <c r="B366" s="30" t="n"/>
      <c r="C366" s="30" t="n"/>
      <c r="D366" s="31" t="n"/>
      <c r="E366" s="33" t="n"/>
      <c r="F366" s="33" t="n"/>
      <c r="G366" s="33" t="n"/>
      <c r="H366" s="34">
        <f>IF(OR(I366="G",I366="D"),0,IF(AND(E366="",F366=""),0,MAX(0,IFERROR(E366+0,0)+IFERROR(F366+0,0)-IFERROR(G366+0,0))))</f>
        <v/>
      </c>
      <c r="I366" s="35" t="n"/>
      <c r="J366" s="37">
        <f>IF(OR(B366="",H366=0),"-",RANK.EQ(H366,$H$366:$H$373,0))</f>
        <v/>
      </c>
    </row>
    <row r="367" ht="18" customHeight="1">
      <c r="A367" s="57" t="n">
        <v>2</v>
      </c>
      <c r="B367" s="58" t="n"/>
      <c r="C367" s="58" t="n"/>
      <c r="D367" s="59" t="n"/>
      <c r="E367" s="60" t="n"/>
      <c r="F367" s="60" t="n"/>
      <c r="G367" s="60" t="n"/>
      <c r="H367" s="34">
        <f>IF(OR(I367="G",I367="D"),0,IF(AND(E367="",F367=""),0,MAX(0,IFERROR(E367+0,0)+IFERROR(F367+0,0)-IFERROR(G367+0,0))))</f>
        <v/>
      </c>
      <c r="I367" s="61" t="n"/>
      <c r="J367" s="37">
        <f>IF(OR(B367="",H367=0),"-",RANK.EQ(H367,$H$366:$H$373,0))</f>
        <v/>
      </c>
    </row>
    <row r="368" ht="18" customHeight="1">
      <c r="A368" s="29" t="n">
        <v>3</v>
      </c>
      <c r="B368" s="30" t="n"/>
      <c r="C368" s="30" t="n"/>
      <c r="D368" s="31" t="n"/>
      <c r="E368" s="33" t="n"/>
      <c r="F368" s="33" t="n"/>
      <c r="G368" s="33" t="n"/>
      <c r="H368" s="34">
        <f>IF(OR(I368="G",I368="D"),0,IF(AND(E368="",F368=""),0,MAX(0,IFERROR(E368+0,0)+IFERROR(F368+0,0)-IFERROR(G368+0,0))))</f>
        <v/>
      </c>
      <c r="I368" s="35" t="n"/>
      <c r="J368" s="37">
        <f>IF(OR(B368="",H368=0),"-",RANK.EQ(H368,$H$366:$H$373,0))</f>
        <v/>
      </c>
    </row>
    <row r="369" ht="18" customHeight="1">
      <c r="A369" s="57" t="n">
        <v>4</v>
      </c>
      <c r="B369" s="58" t="n"/>
      <c r="C369" s="58" t="n"/>
      <c r="D369" s="59" t="n"/>
      <c r="E369" s="60" t="n"/>
      <c r="F369" s="60" t="n"/>
      <c r="G369" s="60" t="n"/>
      <c r="H369" s="34">
        <f>IF(OR(I369="G",I369="D"),0,IF(AND(E369="",F369=""),0,MAX(0,IFERROR(E369+0,0)+IFERROR(F369+0,0)-IFERROR(G369+0,0))))</f>
        <v/>
      </c>
      <c r="I369" s="61" t="n"/>
      <c r="J369" s="37">
        <f>IF(OR(B369="",H369=0),"-",RANK.EQ(H369,$H$366:$H$373,0))</f>
        <v/>
      </c>
    </row>
    <row r="370" ht="18" customHeight="1">
      <c r="A370" s="29" t="n">
        <v>5</v>
      </c>
      <c r="B370" s="30" t="n"/>
      <c r="C370" s="30" t="n"/>
      <c r="D370" s="31" t="n"/>
      <c r="E370" s="33" t="n"/>
      <c r="F370" s="33" t="n"/>
      <c r="G370" s="33" t="n"/>
      <c r="H370" s="34">
        <f>IF(OR(I370="G",I370="D"),0,IF(AND(E370="",F370=""),0,MAX(0,IFERROR(E370+0,0)+IFERROR(F370+0,0)-IFERROR(G370+0,0))))</f>
        <v/>
      </c>
      <c r="I370" s="35" t="n"/>
      <c r="J370" s="37">
        <f>IF(OR(B370="",H370=0),"-",RANK.EQ(H370,$H$366:$H$373,0))</f>
        <v/>
      </c>
    </row>
    <row r="371" ht="18" customHeight="1">
      <c r="A371" s="57" t="n">
        <v>6</v>
      </c>
      <c r="B371" s="58" t="n"/>
      <c r="C371" s="58" t="n"/>
      <c r="D371" s="59" t="n"/>
      <c r="E371" s="60" t="n"/>
      <c r="F371" s="60" t="n"/>
      <c r="G371" s="60" t="n"/>
      <c r="H371" s="34">
        <f>IF(OR(I371="G",I371="D"),0,IF(AND(E371="",F371=""),0,MAX(0,IFERROR(E371+0,0)+IFERROR(F371+0,0)-IFERROR(G371+0,0))))</f>
        <v/>
      </c>
      <c r="I371" s="61" t="n"/>
      <c r="J371" s="37">
        <f>IF(OR(B371="",H371=0),"-",RANK.EQ(H371,$H$366:$H$373,0))</f>
        <v/>
      </c>
    </row>
    <row r="372" ht="18" customHeight="1">
      <c r="A372" s="29" t="n">
        <v>7</v>
      </c>
      <c r="B372" s="30" t="n"/>
      <c r="C372" s="30" t="n"/>
      <c r="D372" s="31" t="n"/>
      <c r="E372" s="33" t="n"/>
      <c r="F372" s="33" t="n"/>
      <c r="G372" s="33" t="n"/>
      <c r="H372" s="34">
        <f>IF(OR(I372="G",I372="D"),0,IF(AND(E372="",F372=""),0,MAX(0,IFERROR(E372+0,0)+IFERROR(F372+0,0)-IFERROR(G372+0,0))))</f>
        <v/>
      </c>
      <c r="I372" s="35" t="n"/>
      <c r="J372" s="37">
        <f>IF(OR(B372="",H372=0),"-",RANK.EQ(H372,$H$366:$H$373,0))</f>
        <v/>
      </c>
    </row>
    <row r="373" ht="18" customHeight="1">
      <c r="A373" s="57" t="n">
        <v>8</v>
      </c>
      <c r="B373" s="58" t="n"/>
      <c r="C373" s="58" t="n"/>
      <c r="D373" s="59" t="n"/>
      <c r="E373" s="60" t="n"/>
      <c r="F373" s="60" t="n"/>
      <c r="G373" s="60" t="n"/>
      <c r="H373" s="34">
        <f>IF(OR(I373="G",I373="D"),0,IF(AND(E373="",F373=""),0,MAX(0,IFERROR(E373+0,0)+IFERROR(F373+0,0)-IFERROR(G373+0,0))))</f>
        <v/>
      </c>
      <c r="I373" s="61" t="n"/>
      <c r="J373" s="37">
        <f>IF(OR(B373="",H373=0),"-",RANK.EQ(H373,$H$366:$H$373,0))</f>
        <v/>
      </c>
    </row>
    <row r="376" ht="26" customHeight="1">
      <c r="A376" s="56" t="inlineStr">
        <is>
          <t>KULPLU BEYGIR (PH)  —  GENÇ ERKEKLER</t>
        </is>
      </c>
    </row>
    <row r="377" ht="26" customHeight="1">
      <c r="A377" s="27" t="inlineStr">
        <is>
          <t>Eleme
Sırası</t>
        </is>
      </c>
      <c r="B377" s="27" t="inlineStr">
        <is>
          <t>Ad</t>
        </is>
      </c>
      <c r="C377" s="27" t="inlineStr">
        <is>
          <t>Soyad</t>
        </is>
      </c>
      <c r="D377" s="27" t="inlineStr">
        <is>
          <t>Okul / Kulüp</t>
        </is>
      </c>
      <c r="E377" s="27" t="inlineStr">
        <is>
          <t>D</t>
        </is>
      </c>
      <c r="F377" s="27" t="inlineStr">
        <is>
          <t>E</t>
        </is>
      </c>
      <c r="G377" s="27" t="inlineStr">
        <is>
          <t>ND</t>
        </is>
      </c>
      <c r="H377" s="27" t="inlineStr">
        <is>
          <t>FİNAL</t>
        </is>
      </c>
      <c r="I377" s="27" t="inlineStr">
        <is>
          <t>Dur</t>
        </is>
      </c>
      <c r="J377" s="27" t="inlineStr">
        <is>
          <t>FİN.SIRA</t>
        </is>
      </c>
    </row>
    <row r="378" ht="18" customHeight="1">
      <c r="A378" s="29" t="n">
        <v>1</v>
      </c>
      <c r="B378" s="30" t="n"/>
      <c r="C378" s="30" t="n"/>
      <c r="D378" s="31" t="n"/>
      <c r="E378" s="33" t="n"/>
      <c r="F378" s="33" t="n"/>
      <c r="G378" s="33" t="n"/>
      <c r="H378" s="34">
        <f>IF(OR(I378="G",I378="D"),0,IF(AND(E378="",F378=""),0,MAX(0,IFERROR(E378+0,0)+IFERROR(F378+0,0)-IFERROR(G378+0,0))))</f>
        <v/>
      </c>
      <c r="I378" s="35" t="n"/>
      <c r="J378" s="37">
        <f>IF(OR(B378="",H378=0),"-",RANK.EQ(H378,$H$378:$H$385,0))</f>
        <v/>
      </c>
    </row>
    <row r="379" ht="18" customHeight="1">
      <c r="A379" s="57" t="n">
        <v>2</v>
      </c>
      <c r="B379" s="58" t="n"/>
      <c r="C379" s="58" t="n"/>
      <c r="D379" s="59" t="n"/>
      <c r="E379" s="60" t="n"/>
      <c r="F379" s="60" t="n"/>
      <c r="G379" s="60" t="n"/>
      <c r="H379" s="34">
        <f>IF(OR(I379="G",I379="D"),0,IF(AND(E379="",F379=""),0,MAX(0,IFERROR(E379+0,0)+IFERROR(F379+0,0)-IFERROR(G379+0,0))))</f>
        <v/>
      </c>
      <c r="I379" s="61" t="n"/>
      <c r="J379" s="37">
        <f>IF(OR(B379="",H379=0),"-",RANK.EQ(H379,$H$378:$H$385,0))</f>
        <v/>
      </c>
    </row>
    <row r="380" ht="18" customHeight="1">
      <c r="A380" s="29" t="n">
        <v>3</v>
      </c>
      <c r="B380" s="30" t="n"/>
      <c r="C380" s="30" t="n"/>
      <c r="D380" s="31" t="n"/>
      <c r="E380" s="33" t="n"/>
      <c r="F380" s="33" t="n"/>
      <c r="G380" s="33" t="n"/>
      <c r="H380" s="34">
        <f>IF(OR(I380="G",I380="D"),0,IF(AND(E380="",F380=""),0,MAX(0,IFERROR(E380+0,0)+IFERROR(F380+0,0)-IFERROR(G380+0,0))))</f>
        <v/>
      </c>
      <c r="I380" s="35" t="n"/>
      <c r="J380" s="37">
        <f>IF(OR(B380="",H380=0),"-",RANK.EQ(H380,$H$378:$H$385,0))</f>
        <v/>
      </c>
    </row>
    <row r="381" ht="18" customHeight="1">
      <c r="A381" s="57" t="n">
        <v>4</v>
      </c>
      <c r="B381" s="58" t="n"/>
      <c r="C381" s="58" t="n"/>
      <c r="D381" s="59" t="n"/>
      <c r="E381" s="60" t="n"/>
      <c r="F381" s="60" t="n"/>
      <c r="G381" s="60" t="n"/>
      <c r="H381" s="34">
        <f>IF(OR(I381="G",I381="D"),0,IF(AND(E381="",F381=""),0,MAX(0,IFERROR(E381+0,0)+IFERROR(F381+0,0)-IFERROR(G381+0,0))))</f>
        <v/>
      </c>
      <c r="I381" s="61" t="n"/>
      <c r="J381" s="37">
        <f>IF(OR(B381="",H381=0),"-",RANK.EQ(H381,$H$378:$H$385,0))</f>
        <v/>
      </c>
    </row>
    <row r="382" ht="18" customHeight="1">
      <c r="A382" s="29" t="n">
        <v>5</v>
      </c>
      <c r="B382" s="30" t="n"/>
      <c r="C382" s="30" t="n"/>
      <c r="D382" s="31" t="n"/>
      <c r="E382" s="33" t="n"/>
      <c r="F382" s="33" t="n"/>
      <c r="G382" s="33" t="n"/>
      <c r="H382" s="34">
        <f>IF(OR(I382="G",I382="D"),0,IF(AND(E382="",F382=""),0,MAX(0,IFERROR(E382+0,0)+IFERROR(F382+0,0)-IFERROR(G382+0,0))))</f>
        <v/>
      </c>
      <c r="I382" s="35" t="n"/>
      <c r="J382" s="37">
        <f>IF(OR(B382="",H382=0),"-",RANK.EQ(H382,$H$378:$H$385,0))</f>
        <v/>
      </c>
    </row>
    <row r="383" ht="18" customHeight="1">
      <c r="A383" s="57" t="n">
        <v>6</v>
      </c>
      <c r="B383" s="58" t="n"/>
      <c r="C383" s="58" t="n"/>
      <c r="D383" s="59" t="n"/>
      <c r="E383" s="60" t="n"/>
      <c r="F383" s="60" t="n"/>
      <c r="G383" s="60" t="n"/>
      <c r="H383" s="34">
        <f>IF(OR(I383="G",I383="D"),0,IF(AND(E383="",F383=""),0,MAX(0,IFERROR(E383+0,0)+IFERROR(F383+0,0)-IFERROR(G383+0,0))))</f>
        <v/>
      </c>
      <c r="I383" s="61" t="n"/>
      <c r="J383" s="37">
        <f>IF(OR(B383="",H383=0),"-",RANK.EQ(H383,$H$378:$H$385,0))</f>
        <v/>
      </c>
    </row>
    <row r="384" ht="18" customHeight="1">
      <c r="A384" s="29" t="n">
        <v>7</v>
      </c>
      <c r="B384" s="30" t="n"/>
      <c r="C384" s="30" t="n"/>
      <c r="D384" s="31" t="n"/>
      <c r="E384" s="33" t="n"/>
      <c r="F384" s="33" t="n"/>
      <c r="G384" s="33" t="n"/>
      <c r="H384" s="34">
        <f>IF(OR(I384="G",I384="D"),0,IF(AND(E384="",F384=""),0,MAX(0,IFERROR(E384+0,0)+IFERROR(F384+0,0)-IFERROR(G384+0,0))))</f>
        <v/>
      </c>
      <c r="I384" s="35" t="n"/>
      <c r="J384" s="37">
        <f>IF(OR(B384="",H384=0),"-",RANK.EQ(H384,$H$378:$H$385,0))</f>
        <v/>
      </c>
    </row>
    <row r="385" ht="18" customHeight="1">
      <c r="A385" s="57" t="n">
        <v>8</v>
      </c>
      <c r="B385" s="58" t="n"/>
      <c r="C385" s="58" t="n"/>
      <c r="D385" s="59" t="n"/>
      <c r="E385" s="60" t="n"/>
      <c r="F385" s="60" t="n"/>
      <c r="G385" s="60" t="n"/>
      <c r="H385" s="34">
        <f>IF(OR(I385="G",I385="D"),0,IF(AND(E385="",F385=""),0,MAX(0,IFERROR(E385+0,0)+IFERROR(F385+0,0)-IFERROR(G385+0,0))))</f>
        <v/>
      </c>
      <c r="I385" s="61" t="n"/>
      <c r="J385" s="37">
        <f>IF(OR(B385="",H385=0),"-",RANK.EQ(H385,$H$378:$H$385,0))</f>
        <v/>
      </c>
    </row>
    <row r="388" ht="26" customHeight="1">
      <c r="A388" s="56" t="inlineStr">
        <is>
          <t>HALKA (SR)  —  GENÇ ERKEKLER</t>
        </is>
      </c>
    </row>
    <row r="389" ht="26" customHeight="1">
      <c r="A389" s="27" t="inlineStr">
        <is>
          <t>Eleme
Sırası</t>
        </is>
      </c>
      <c r="B389" s="27" t="inlineStr">
        <is>
          <t>Ad</t>
        </is>
      </c>
      <c r="C389" s="27" t="inlineStr">
        <is>
          <t>Soyad</t>
        </is>
      </c>
      <c r="D389" s="27" t="inlineStr">
        <is>
          <t>Okul / Kulüp</t>
        </is>
      </c>
      <c r="E389" s="27" t="inlineStr">
        <is>
          <t>D</t>
        </is>
      </c>
      <c r="F389" s="27" t="inlineStr">
        <is>
          <t>E</t>
        </is>
      </c>
      <c r="G389" s="27" t="inlineStr">
        <is>
          <t>ND</t>
        </is>
      </c>
      <c r="H389" s="27" t="inlineStr">
        <is>
          <t>FİNAL</t>
        </is>
      </c>
      <c r="I389" s="27" t="inlineStr">
        <is>
          <t>Dur</t>
        </is>
      </c>
      <c r="J389" s="27" t="inlineStr">
        <is>
          <t>FİN.SIRA</t>
        </is>
      </c>
    </row>
    <row r="390" ht="18" customHeight="1">
      <c r="A390" s="29" t="n">
        <v>1</v>
      </c>
      <c r="B390" s="30" t="n"/>
      <c r="C390" s="30" t="n"/>
      <c r="D390" s="31" t="n"/>
      <c r="E390" s="33" t="n"/>
      <c r="F390" s="33" t="n"/>
      <c r="G390" s="33" t="n"/>
      <c r="H390" s="34">
        <f>IF(OR(I390="G",I390="D"),0,IF(AND(E390="",F390=""),0,MAX(0,IFERROR(E390+0,0)+IFERROR(F390+0,0)-IFERROR(G390+0,0))))</f>
        <v/>
      </c>
      <c r="I390" s="35" t="n"/>
      <c r="J390" s="37">
        <f>IF(OR(B390="",H390=0),"-",RANK.EQ(H390,$H$390:$H$397,0))</f>
        <v/>
      </c>
    </row>
    <row r="391" ht="18" customHeight="1">
      <c r="A391" s="57" t="n">
        <v>2</v>
      </c>
      <c r="B391" s="58" t="n"/>
      <c r="C391" s="58" t="n"/>
      <c r="D391" s="59" t="n"/>
      <c r="E391" s="60" t="n"/>
      <c r="F391" s="60" t="n"/>
      <c r="G391" s="60" t="n"/>
      <c r="H391" s="34">
        <f>IF(OR(I391="G",I391="D"),0,IF(AND(E391="",F391=""),0,MAX(0,IFERROR(E391+0,0)+IFERROR(F391+0,0)-IFERROR(G391+0,0))))</f>
        <v/>
      </c>
      <c r="I391" s="61" t="n"/>
      <c r="J391" s="37">
        <f>IF(OR(B391="",H391=0),"-",RANK.EQ(H391,$H$390:$H$397,0))</f>
        <v/>
      </c>
    </row>
    <row r="392" ht="18" customHeight="1">
      <c r="A392" s="29" t="n">
        <v>3</v>
      </c>
      <c r="B392" s="30" t="n"/>
      <c r="C392" s="30" t="n"/>
      <c r="D392" s="31" t="n"/>
      <c r="E392" s="33" t="n"/>
      <c r="F392" s="33" t="n"/>
      <c r="G392" s="33" t="n"/>
      <c r="H392" s="34">
        <f>IF(OR(I392="G",I392="D"),0,IF(AND(E392="",F392=""),0,MAX(0,IFERROR(E392+0,0)+IFERROR(F392+0,0)-IFERROR(G392+0,0))))</f>
        <v/>
      </c>
      <c r="I392" s="35" t="n"/>
      <c r="J392" s="37">
        <f>IF(OR(B392="",H392=0),"-",RANK.EQ(H392,$H$390:$H$397,0))</f>
        <v/>
      </c>
    </row>
    <row r="393" ht="18" customHeight="1">
      <c r="A393" s="57" t="n">
        <v>4</v>
      </c>
      <c r="B393" s="58" t="n"/>
      <c r="C393" s="58" t="n"/>
      <c r="D393" s="59" t="n"/>
      <c r="E393" s="60" t="n"/>
      <c r="F393" s="60" t="n"/>
      <c r="G393" s="60" t="n"/>
      <c r="H393" s="34">
        <f>IF(OR(I393="G",I393="D"),0,IF(AND(E393="",F393=""),0,MAX(0,IFERROR(E393+0,0)+IFERROR(F393+0,0)-IFERROR(G393+0,0))))</f>
        <v/>
      </c>
      <c r="I393" s="61" t="n"/>
      <c r="J393" s="37">
        <f>IF(OR(B393="",H393=0),"-",RANK.EQ(H393,$H$390:$H$397,0))</f>
        <v/>
      </c>
    </row>
    <row r="394" ht="18" customHeight="1">
      <c r="A394" s="29" t="n">
        <v>5</v>
      </c>
      <c r="B394" s="30" t="n"/>
      <c r="C394" s="30" t="n"/>
      <c r="D394" s="31" t="n"/>
      <c r="E394" s="33" t="n"/>
      <c r="F394" s="33" t="n"/>
      <c r="G394" s="33" t="n"/>
      <c r="H394" s="34">
        <f>IF(OR(I394="G",I394="D"),0,IF(AND(E394="",F394=""),0,MAX(0,IFERROR(E394+0,0)+IFERROR(F394+0,0)-IFERROR(G394+0,0))))</f>
        <v/>
      </c>
      <c r="I394" s="35" t="n"/>
      <c r="J394" s="37">
        <f>IF(OR(B394="",H394=0),"-",RANK.EQ(H394,$H$390:$H$397,0))</f>
        <v/>
      </c>
    </row>
    <row r="395" ht="18" customHeight="1">
      <c r="A395" s="57" t="n">
        <v>6</v>
      </c>
      <c r="B395" s="58" t="n"/>
      <c r="C395" s="58" t="n"/>
      <c r="D395" s="59" t="n"/>
      <c r="E395" s="60" t="n"/>
      <c r="F395" s="60" t="n"/>
      <c r="G395" s="60" t="n"/>
      <c r="H395" s="34">
        <f>IF(OR(I395="G",I395="D"),0,IF(AND(E395="",F395=""),0,MAX(0,IFERROR(E395+0,0)+IFERROR(F395+0,0)-IFERROR(G395+0,0))))</f>
        <v/>
      </c>
      <c r="I395" s="61" t="n"/>
      <c r="J395" s="37">
        <f>IF(OR(B395="",H395=0),"-",RANK.EQ(H395,$H$390:$H$397,0))</f>
        <v/>
      </c>
    </row>
    <row r="396" ht="18" customHeight="1">
      <c r="A396" s="29" t="n">
        <v>7</v>
      </c>
      <c r="B396" s="30" t="n"/>
      <c r="C396" s="30" t="n"/>
      <c r="D396" s="31" t="n"/>
      <c r="E396" s="33" t="n"/>
      <c r="F396" s="33" t="n"/>
      <c r="G396" s="33" t="n"/>
      <c r="H396" s="34">
        <f>IF(OR(I396="G",I396="D"),0,IF(AND(E396="",F396=""),0,MAX(0,IFERROR(E396+0,0)+IFERROR(F396+0,0)-IFERROR(G396+0,0))))</f>
        <v/>
      </c>
      <c r="I396" s="35" t="n"/>
      <c r="J396" s="37">
        <f>IF(OR(B396="",H396=0),"-",RANK.EQ(H396,$H$390:$H$397,0))</f>
        <v/>
      </c>
    </row>
    <row r="397" ht="18" customHeight="1">
      <c r="A397" s="57" t="n">
        <v>8</v>
      </c>
      <c r="B397" s="58" t="n"/>
      <c r="C397" s="58" t="n"/>
      <c r="D397" s="59" t="n"/>
      <c r="E397" s="60" t="n"/>
      <c r="F397" s="60" t="n"/>
      <c r="G397" s="60" t="n"/>
      <c r="H397" s="34">
        <f>IF(OR(I397="G",I397="D"),0,IF(AND(E397="",F397=""),0,MAX(0,IFERROR(E397+0,0)+IFERROR(F397+0,0)-IFERROR(G397+0,0))))</f>
        <v/>
      </c>
      <c r="I397" s="61" t="n"/>
      <c r="J397" s="37">
        <f>IF(OR(B397="",H397=0),"-",RANK.EQ(H397,$H$390:$H$397,0))</f>
        <v/>
      </c>
    </row>
    <row r="400" ht="26" customHeight="1">
      <c r="A400" s="56" t="inlineStr">
        <is>
          <t>ATLAMA (VT)  —  GENÇ ERKEKLER</t>
        </is>
      </c>
    </row>
    <row r="401" ht="26" customHeight="1">
      <c r="A401" s="27" t="inlineStr">
        <is>
          <t>Eleme
Sırası</t>
        </is>
      </c>
      <c r="B401" s="27" t="inlineStr">
        <is>
          <t>Ad</t>
        </is>
      </c>
      <c r="C401" s="27" t="inlineStr">
        <is>
          <t>Soyad</t>
        </is>
      </c>
      <c r="D401" s="27" t="inlineStr">
        <is>
          <t>Okul / Kulüp</t>
        </is>
      </c>
      <c r="E401" s="27" t="inlineStr">
        <is>
          <t>D</t>
        </is>
      </c>
      <c r="F401" s="27" t="inlineStr">
        <is>
          <t>E</t>
        </is>
      </c>
      <c r="G401" s="27" t="inlineStr">
        <is>
          <t>ND</t>
        </is>
      </c>
      <c r="H401" s="27" t="inlineStr">
        <is>
          <t>FİNAL</t>
        </is>
      </c>
      <c r="I401" s="27" t="inlineStr">
        <is>
          <t>Dur</t>
        </is>
      </c>
      <c r="J401" s="27" t="inlineStr">
        <is>
          <t>FİN.SIRA</t>
        </is>
      </c>
    </row>
    <row r="402" ht="18" customHeight="1">
      <c r="A402" s="29" t="n">
        <v>1</v>
      </c>
      <c r="B402" s="30" t="n"/>
      <c r="C402" s="30" t="n"/>
      <c r="D402" s="31" t="n"/>
      <c r="E402" s="33" t="n"/>
      <c r="F402" s="33" t="n"/>
      <c r="G402" s="33" t="n"/>
      <c r="H402" s="34">
        <f>IF(OR(I402="G",I402="D"),0,IF(AND(E402="",F402=""),0,MAX(0,IFERROR(E402+0,0)+IFERROR(F402+0,0)-IFERROR(G402+0,0))))</f>
        <v/>
      </c>
      <c r="I402" s="35" t="n"/>
      <c r="J402" s="37">
        <f>IF(OR(B402="",H402=0),"-",RANK.EQ(H402,$H$402:$H$409,0))</f>
        <v/>
      </c>
    </row>
    <row r="403" ht="18" customHeight="1">
      <c r="A403" s="57" t="n">
        <v>2</v>
      </c>
      <c r="B403" s="58" t="n"/>
      <c r="C403" s="58" t="n"/>
      <c r="D403" s="59" t="n"/>
      <c r="E403" s="60" t="n"/>
      <c r="F403" s="60" t="n"/>
      <c r="G403" s="60" t="n"/>
      <c r="H403" s="34">
        <f>IF(OR(I403="G",I403="D"),0,IF(AND(E403="",F403=""),0,MAX(0,IFERROR(E403+0,0)+IFERROR(F403+0,0)-IFERROR(G403+0,0))))</f>
        <v/>
      </c>
      <c r="I403" s="61" t="n"/>
      <c r="J403" s="37">
        <f>IF(OR(B403="",H403=0),"-",RANK.EQ(H403,$H$402:$H$409,0))</f>
        <v/>
      </c>
    </row>
    <row r="404" ht="18" customHeight="1">
      <c r="A404" s="29" t="n">
        <v>3</v>
      </c>
      <c r="B404" s="30" t="n"/>
      <c r="C404" s="30" t="n"/>
      <c r="D404" s="31" t="n"/>
      <c r="E404" s="33" t="n"/>
      <c r="F404" s="33" t="n"/>
      <c r="G404" s="33" t="n"/>
      <c r="H404" s="34">
        <f>IF(OR(I404="G",I404="D"),0,IF(AND(E404="",F404=""),0,MAX(0,IFERROR(E404+0,0)+IFERROR(F404+0,0)-IFERROR(G404+0,0))))</f>
        <v/>
      </c>
      <c r="I404" s="35" t="n"/>
      <c r="J404" s="37">
        <f>IF(OR(B404="",H404=0),"-",RANK.EQ(H404,$H$402:$H$409,0))</f>
        <v/>
      </c>
    </row>
    <row r="405" ht="18" customHeight="1">
      <c r="A405" s="57" t="n">
        <v>4</v>
      </c>
      <c r="B405" s="58" t="n"/>
      <c r="C405" s="58" t="n"/>
      <c r="D405" s="59" t="n"/>
      <c r="E405" s="60" t="n"/>
      <c r="F405" s="60" t="n"/>
      <c r="G405" s="60" t="n"/>
      <c r="H405" s="34">
        <f>IF(OR(I405="G",I405="D"),0,IF(AND(E405="",F405=""),0,MAX(0,IFERROR(E405+0,0)+IFERROR(F405+0,0)-IFERROR(G405+0,0))))</f>
        <v/>
      </c>
      <c r="I405" s="61" t="n"/>
      <c r="J405" s="37">
        <f>IF(OR(B405="",H405=0),"-",RANK.EQ(H405,$H$402:$H$409,0))</f>
        <v/>
      </c>
    </row>
    <row r="406" ht="18" customHeight="1">
      <c r="A406" s="29" t="n">
        <v>5</v>
      </c>
      <c r="B406" s="30" t="n"/>
      <c r="C406" s="30" t="n"/>
      <c r="D406" s="31" t="n"/>
      <c r="E406" s="33" t="n"/>
      <c r="F406" s="33" t="n"/>
      <c r="G406" s="33" t="n"/>
      <c r="H406" s="34">
        <f>IF(OR(I406="G",I406="D"),0,IF(AND(E406="",F406=""),0,MAX(0,IFERROR(E406+0,0)+IFERROR(F406+0,0)-IFERROR(G406+0,0))))</f>
        <v/>
      </c>
      <c r="I406" s="35" t="n"/>
      <c r="J406" s="37">
        <f>IF(OR(B406="",H406=0),"-",RANK.EQ(H406,$H$402:$H$409,0))</f>
        <v/>
      </c>
    </row>
    <row r="407" ht="18" customHeight="1">
      <c r="A407" s="57" t="n">
        <v>6</v>
      </c>
      <c r="B407" s="58" t="n"/>
      <c r="C407" s="58" t="n"/>
      <c r="D407" s="59" t="n"/>
      <c r="E407" s="60" t="n"/>
      <c r="F407" s="60" t="n"/>
      <c r="G407" s="60" t="n"/>
      <c r="H407" s="34">
        <f>IF(OR(I407="G",I407="D"),0,IF(AND(E407="",F407=""),0,MAX(0,IFERROR(E407+0,0)+IFERROR(F407+0,0)-IFERROR(G407+0,0))))</f>
        <v/>
      </c>
      <c r="I407" s="61" t="n"/>
      <c r="J407" s="37">
        <f>IF(OR(B407="",H407=0),"-",RANK.EQ(H407,$H$402:$H$409,0))</f>
        <v/>
      </c>
    </row>
    <row r="408" ht="18" customHeight="1">
      <c r="A408" s="29" t="n">
        <v>7</v>
      </c>
      <c r="B408" s="30" t="n"/>
      <c r="C408" s="30" t="n"/>
      <c r="D408" s="31" t="n"/>
      <c r="E408" s="33" t="n"/>
      <c r="F408" s="33" t="n"/>
      <c r="G408" s="33" t="n"/>
      <c r="H408" s="34">
        <f>IF(OR(I408="G",I408="D"),0,IF(AND(E408="",F408=""),0,MAX(0,IFERROR(E408+0,0)+IFERROR(F408+0,0)-IFERROR(G408+0,0))))</f>
        <v/>
      </c>
      <c r="I408" s="35" t="n"/>
      <c r="J408" s="37">
        <f>IF(OR(B408="",H408=0),"-",RANK.EQ(H408,$H$402:$H$409,0))</f>
        <v/>
      </c>
    </row>
    <row r="409" ht="18" customHeight="1">
      <c r="A409" s="57" t="n">
        <v>8</v>
      </c>
      <c r="B409" s="58" t="n"/>
      <c r="C409" s="58" t="n"/>
      <c r="D409" s="59" t="n"/>
      <c r="E409" s="60" t="n"/>
      <c r="F409" s="60" t="n"/>
      <c r="G409" s="60" t="n"/>
      <c r="H409" s="34">
        <f>IF(OR(I409="G",I409="D"),0,IF(AND(E409="",F409=""),0,MAX(0,IFERROR(E409+0,0)+IFERROR(F409+0,0)-IFERROR(G409+0,0))))</f>
        <v/>
      </c>
      <c r="I409" s="61" t="n"/>
      <c r="J409" s="37">
        <f>IF(OR(B409="",H409=0),"-",RANK.EQ(H409,$H$402:$H$409,0))</f>
        <v/>
      </c>
    </row>
    <row r="412" ht="26" customHeight="1">
      <c r="A412" s="56" t="inlineStr">
        <is>
          <t>PARALEL (PB)  —  GENÇ ERKEKLER</t>
        </is>
      </c>
    </row>
    <row r="413" ht="26" customHeight="1">
      <c r="A413" s="27" t="inlineStr">
        <is>
          <t>Eleme
Sırası</t>
        </is>
      </c>
      <c r="B413" s="27" t="inlineStr">
        <is>
          <t>Ad</t>
        </is>
      </c>
      <c r="C413" s="27" t="inlineStr">
        <is>
          <t>Soyad</t>
        </is>
      </c>
      <c r="D413" s="27" t="inlineStr">
        <is>
          <t>Okul / Kulüp</t>
        </is>
      </c>
      <c r="E413" s="27" t="inlineStr">
        <is>
          <t>D</t>
        </is>
      </c>
      <c r="F413" s="27" t="inlineStr">
        <is>
          <t>E</t>
        </is>
      </c>
      <c r="G413" s="27" t="inlineStr">
        <is>
          <t>ND</t>
        </is>
      </c>
      <c r="H413" s="27" t="inlineStr">
        <is>
          <t>FİNAL</t>
        </is>
      </c>
      <c r="I413" s="27" t="inlineStr">
        <is>
          <t>Dur</t>
        </is>
      </c>
      <c r="J413" s="27" t="inlineStr">
        <is>
          <t>FİN.SIRA</t>
        </is>
      </c>
    </row>
    <row r="414" ht="18" customHeight="1">
      <c r="A414" s="29" t="n">
        <v>1</v>
      </c>
      <c r="B414" s="30" t="n"/>
      <c r="C414" s="30" t="n"/>
      <c r="D414" s="31" t="n"/>
      <c r="E414" s="33" t="n"/>
      <c r="F414" s="33" t="n"/>
      <c r="G414" s="33" t="n"/>
      <c r="H414" s="34">
        <f>IF(OR(I414="G",I414="D"),0,IF(AND(E414="",F414=""),0,MAX(0,IFERROR(E414+0,0)+IFERROR(F414+0,0)-IFERROR(G414+0,0))))</f>
        <v/>
      </c>
      <c r="I414" s="35" t="n"/>
      <c r="J414" s="37">
        <f>IF(OR(B414="",H414=0),"-",RANK.EQ(H414,$H$414:$H$421,0))</f>
        <v/>
      </c>
    </row>
    <row r="415" ht="18" customHeight="1">
      <c r="A415" s="57" t="n">
        <v>2</v>
      </c>
      <c r="B415" s="58" t="n"/>
      <c r="C415" s="58" t="n"/>
      <c r="D415" s="59" t="n"/>
      <c r="E415" s="60" t="n"/>
      <c r="F415" s="60" t="n"/>
      <c r="G415" s="60" t="n"/>
      <c r="H415" s="34">
        <f>IF(OR(I415="G",I415="D"),0,IF(AND(E415="",F415=""),0,MAX(0,IFERROR(E415+0,0)+IFERROR(F415+0,0)-IFERROR(G415+0,0))))</f>
        <v/>
      </c>
      <c r="I415" s="61" t="n"/>
      <c r="J415" s="37">
        <f>IF(OR(B415="",H415=0),"-",RANK.EQ(H415,$H$414:$H$421,0))</f>
        <v/>
      </c>
    </row>
    <row r="416" ht="18" customHeight="1">
      <c r="A416" s="29" t="n">
        <v>3</v>
      </c>
      <c r="B416" s="30" t="n"/>
      <c r="C416" s="30" t="n"/>
      <c r="D416" s="31" t="n"/>
      <c r="E416" s="33" t="n"/>
      <c r="F416" s="33" t="n"/>
      <c r="G416" s="33" t="n"/>
      <c r="H416" s="34">
        <f>IF(OR(I416="G",I416="D"),0,IF(AND(E416="",F416=""),0,MAX(0,IFERROR(E416+0,0)+IFERROR(F416+0,0)-IFERROR(G416+0,0))))</f>
        <v/>
      </c>
      <c r="I416" s="35" t="n"/>
      <c r="J416" s="37">
        <f>IF(OR(B416="",H416=0),"-",RANK.EQ(H416,$H$414:$H$421,0))</f>
        <v/>
      </c>
    </row>
    <row r="417" ht="18" customHeight="1">
      <c r="A417" s="57" t="n">
        <v>4</v>
      </c>
      <c r="B417" s="58" t="n"/>
      <c r="C417" s="58" t="n"/>
      <c r="D417" s="59" t="n"/>
      <c r="E417" s="60" t="n"/>
      <c r="F417" s="60" t="n"/>
      <c r="G417" s="60" t="n"/>
      <c r="H417" s="34">
        <f>IF(OR(I417="G",I417="D"),0,IF(AND(E417="",F417=""),0,MAX(0,IFERROR(E417+0,0)+IFERROR(F417+0,0)-IFERROR(G417+0,0))))</f>
        <v/>
      </c>
      <c r="I417" s="61" t="n"/>
      <c r="J417" s="37">
        <f>IF(OR(B417="",H417=0),"-",RANK.EQ(H417,$H$414:$H$421,0))</f>
        <v/>
      </c>
    </row>
    <row r="418" ht="18" customHeight="1">
      <c r="A418" s="29" t="n">
        <v>5</v>
      </c>
      <c r="B418" s="30" t="n"/>
      <c r="C418" s="30" t="n"/>
      <c r="D418" s="31" t="n"/>
      <c r="E418" s="33" t="n"/>
      <c r="F418" s="33" t="n"/>
      <c r="G418" s="33" t="n"/>
      <c r="H418" s="34">
        <f>IF(OR(I418="G",I418="D"),0,IF(AND(E418="",F418=""),0,MAX(0,IFERROR(E418+0,0)+IFERROR(F418+0,0)-IFERROR(G418+0,0))))</f>
        <v/>
      </c>
      <c r="I418" s="35" t="n"/>
      <c r="J418" s="37">
        <f>IF(OR(B418="",H418=0),"-",RANK.EQ(H418,$H$414:$H$421,0))</f>
        <v/>
      </c>
    </row>
    <row r="419" ht="18" customHeight="1">
      <c r="A419" s="57" t="n">
        <v>6</v>
      </c>
      <c r="B419" s="58" t="n"/>
      <c r="C419" s="58" t="n"/>
      <c r="D419" s="59" t="n"/>
      <c r="E419" s="60" t="n"/>
      <c r="F419" s="60" t="n"/>
      <c r="G419" s="60" t="n"/>
      <c r="H419" s="34">
        <f>IF(OR(I419="G",I419="D"),0,IF(AND(E419="",F419=""),0,MAX(0,IFERROR(E419+0,0)+IFERROR(F419+0,0)-IFERROR(G419+0,0))))</f>
        <v/>
      </c>
      <c r="I419" s="61" t="n"/>
      <c r="J419" s="37">
        <f>IF(OR(B419="",H419=0),"-",RANK.EQ(H419,$H$414:$H$421,0))</f>
        <v/>
      </c>
    </row>
    <row r="420" ht="18" customHeight="1">
      <c r="A420" s="29" t="n">
        <v>7</v>
      </c>
      <c r="B420" s="30" t="n"/>
      <c r="C420" s="30" t="n"/>
      <c r="D420" s="31" t="n"/>
      <c r="E420" s="33" t="n"/>
      <c r="F420" s="33" t="n"/>
      <c r="G420" s="33" t="n"/>
      <c r="H420" s="34">
        <f>IF(OR(I420="G",I420="D"),0,IF(AND(E420="",F420=""),0,MAX(0,IFERROR(E420+0,0)+IFERROR(F420+0,0)-IFERROR(G420+0,0))))</f>
        <v/>
      </c>
      <c r="I420" s="35" t="n"/>
      <c r="J420" s="37">
        <f>IF(OR(B420="",H420=0),"-",RANK.EQ(H420,$H$414:$H$421,0))</f>
        <v/>
      </c>
    </row>
    <row r="421" ht="18" customHeight="1">
      <c r="A421" s="57" t="n">
        <v>8</v>
      </c>
      <c r="B421" s="58" t="n"/>
      <c r="C421" s="58" t="n"/>
      <c r="D421" s="59" t="n"/>
      <c r="E421" s="60" t="n"/>
      <c r="F421" s="60" t="n"/>
      <c r="G421" s="60" t="n"/>
      <c r="H421" s="34">
        <f>IF(OR(I421="G",I421="D"),0,IF(AND(E421="",F421=""),0,MAX(0,IFERROR(E421+0,0)+IFERROR(F421+0,0)-IFERROR(G421+0,0))))</f>
        <v/>
      </c>
      <c r="I421" s="61" t="n"/>
      <c r="J421" s="37">
        <f>IF(OR(B421="",H421=0),"-",RANK.EQ(H421,$H$414:$H$421,0))</f>
        <v/>
      </c>
    </row>
    <row r="424" ht="26" customHeight="1">
      <c r="A424" s="56" t="inlineStr">
        <is>
          <t>BARFIKS (HB)  —  GENÇ ERKEKLER</t>
        </is>
      </c>
    </row>
    <row r="425" ht="26" customHeight="1">
      <c r="A425" s="27" t="inlineStr">
        <is>
          <t>Eleme
Sırası</t>
        </is>
      </c>
      <c r="B425" s="27" t="inlineStr">
        <is>
          <t>Ad</t>
        </is>
      </c>
      <c r="C425" s="27" t="inlineStr">
        <is>
          <t>Soyad</t>
        </is>
      </c>
      <c r="D425" s="27" t="inlineStr">
        <is>
          <t>Okul / Kulüp</t>
        </is>
      </c>
      <c r="E425" s="27" t="inlineStr">
        <is>
          <t>D</t>
        </is>
      </c>
      <c r="F425" s="27" t="inlineStr">
        <is>
          <t>E</t>
        </is>
      </c>
      <c r="G425" s="27" t="inlineStr">
        <is>
          <t>ND</t>
        </is>
      </c>
      <c r="H425" s="27" t="inlineStr">
        <is>
          <t>FİNAL</t>
        </is>
      </c>
      <c r="I425" s="27" t="inlineStr">
        <is>
          <t>Dur</t>
        </is>
      </c>
      <c r="J425" s="27" t="inlineStr">
        <is>
          <t>FİN.SIRA</t>
        </is>
      </c>
    </row>
    <row r="426" ht="18" customHeight="1">
      <c r="A426" s="29" t="n">
        <v>1</v>
      </c>
      <c r="B426" s="30" t="n"/>
      <c r="C426" s="30" t="n"/>
      <c r="D426" s="31" t="n"/>
      <c r="E426" s="33" t="n"/>
      <c r="F426" s="33" t="n"/>
      <c r="G426" s="33" t="n"/>
      <c r="H426" s="34">
        <f>IF(OR(I426="G",I426="D"),0,IF(AND(E426="",F426=""),0,MAX(0,IFERROR(E426+0,0)+IFERROR(F426+0,0)-IFERROR(G426+0,0))))</f>
        <v/>
      </c>
      <c r="I426" s="35" t="n"/>
      <c r="J426" s="37">
        <f>IF(OR(B426="",H426=0),"-",RANK.EQ(H426,$H$426:$H$433,0))</f>
        <v/>
      </c>
    </row>
    <row r="427" ht="18" customHeight="1">
      <c r="A427" s="57" t="n">
        <v>2</v>
      </c>
      <c r="B427" s="58" t="n"/>
      <c r="C427" s="58" t="n"/>
      <c r="D427" s="59" t="n"/>
      <c r="E427" s="60" t="n"/>
      <c r="F427" s="60" t="n"/>
      <c r="G427" s="60" t="n"/>
      <c r="H427" s="34">
        <f>IF(OR(I427="G",I427="D"),0,IF(AND(E427="",F427=""),0,MAX(0,IFERROR(E427+0,0)+IFERROR(F427+0,0)-IFERROR(G427+0,0))))</f>
        <v/>
      </c>
      <c r="I427" s="61" t="n"/>
      <c r="J427" s="37">
        <f>IF(OR(B427="",H427=0),"-",RANK.EQ(H427,$H$426:$H$433,0))</f>
        <v/>
      </c>
    </row>
    <row r="428" ht="18" customHeight="1">
      <c r="A428" s="29" t="n">
        <v>3</v>
      </c>
      <c r="B428" s="30" t="n"/>
      <c r="C428" s="30" t="n"/>
      <c r="D428" s="31" t="n"/>
      <c r="E428" s="33" t="n"/>
      <c r="F428" s="33" t="n"/>
      <c r="G428" s="33" t="n"/>
      <c r="H428" s="34">
        <f>IF(OR(I428="G",I428="D"),0,IF(AND(E428="",F428=""),0,MAX(0,IFERROR(E428+0,0)+IFERROR(F428+0,0)-IFERROR(G428+0,0))))</f>
        <v/>
      </c>
      <c r="I428" s="35" t="n"/>
      <c r="J428" s="37">
        <f>IF(OR(B428="",H428=0),"-",RANK.EQ(H428,$H$426:$H$433,0))</f>
        <v/>
      </c>
    </row>
    <row r="429" ht="18" customHeight="1">
      <c r="A429" s="57" t="n">
        <v>4</v>
      </c>
      <c r="B429" s="58" t="n"/>
      <c r="C429" s="58" t="n"/>
      <c r="D429" s="59" t="n"/>
      <c r="E429" s="60" t="n"/>
      <c r="F429" s="60" t="n"/>
      <c r="G429" s="60" t="n"/>
      <c r="H429" s="34">
        <f>IF(OR(I429="G",I429="D"),0,IF(AND(E429="",F429=""),0,MAX(0,IFERROR(E429+0,0)+IFERROR(F429+0,0)-IFERROR(G429+0,0))))</f>
        <v/>
      </c>
      <c r="I429" s="61" t="n"/>
      <c r="J429" s="37">
        <f>IF(OR(B429="",H429=0),"-",RANK.EQ(H429,$H$426:$H$433,0))</f>
        <v/>
      </c>
    </row>
    <row r="430" ht="18" customHeight="1">
      <c r="A430" s="29" t="n">
        <v>5</v>
      </c>
      <c r="B430" s="30" t="n"/>
      <c r="C430" s="30" t="n"/>
      <c r="D430" s="31" t="n"/>
      <c r="E430" s="33" t="n"/>
      <c r="F430" s="33" t="n"/>
      <c r="G430" s="33" t="n"/>
      <c r="H430" s="34">
        <f>IF(OR(I430="G",I430="D"),0,IF(AND(E430="",F430=""),0,MAX(0,IFERROR(E430+0,0)+IFERROR(F430+0,0)-IFERROR(G430+0,0))))</f>
        <v/>
      </c>
      <c r="I430" s="35" t="n"/>
      <c r="J430" s="37">
        <f>IF(OR(B430="",H430=0),"-",RANK.EQ(H430,$H$426:$H$433,0))</f>
        <v/>
      </c>
    </row>
    <row r="431" ht="18" customHeight="1">
      <c r="A431" s="57" t="n">
        <v>6</v>
      </c>
      <c r="B431" s="58" t="n"/>
      <c r="C431" s="58" t="n"/>
      <c r="D431" s="59" t="n"/>
      <c r="E431" s="60" t="n"/>
      <c r="F431" s="60" t="n"/>
      <c r="G431" s="60" t="n"/>
      <c r="H431" s="34">
        <f>IF(OR(I431="G",I431="D"),0,IF(AND(E431="",F431=""),0,MAX(0,IFERROR(E431+0,0)+IFERROR(F431+0,0)-IFERROR(G431+0,0))))</f>
        <v/>
      </c>
      <c r="I431" s="61" t="n"/>
      <c r="J431" s="37">
        <f>IF(OR(B431="",H431=0),"-",RANK.EQ(H431,$H$426:$H$433,0))</f>
        <v/>
      </c>
    </row>
    <row r="432" ht="18" customHeight="1">
      <c r="A432" s="29" t="n">
        <v>7</v>
      </c>
      <c r="B432" s="30" t="n"/>
      <c r="C432" s="30" t="n"/>
      <c r="D432" s="31" t="n"/>
      <c r="E432" s="33" t="n"/>
      <c r="F432" s="33" t="n"/>
      <c r="G432" s="33" t="n"/>
      <c r="H432" s="34">
        <f>IF(OR(I432="G",I432="D"),0,IF(AND(E432="",F432=""),0,MAX(0,IFERROR(E432+0,0)+IFERROR(F432+0,0)-IFERROR(G432+0,0))))</f>
        <v/>
      </c>
      <c r="I432" s="35" t="n"/>
      <c r="J432" s="37">
        <f>IF(OR(B432="",H432=0),"-",RANK.EQ(H432,$H$426:$H$433,0))</f>
        <v/>
      </c>
    </row>
    <row r="433" ht="18" customHeight="1">
      <c r="A433" s="57" t="n">
        <v>8</v>
      </c>
      <c r="B433" s="58" t="n"/>
      <c r="C433" s="58" t="n"/>
      <c r="D433" s="59" t="n"/>
      <c r="E433" s="60" t="n"/>
      <c r="F433" s="60" t="n"/>
      <c r="G433" s="60" t="n"/>
      <c r="H433" s="34">
        <f>IF(OR(I433="G",I433="D"),0,IF(AND(E433="",F433=""),0,MAX(0,IFERROR(E433+0,0)+IFERROR(F433+0,0)-IFERROR(G433+0,0))))</f>
        <v/>
      </c>
      <c r="I433" s="61" t="n"/>
      <c r="J433" s="37">
        <f>IF(OR(B433="",H433=0),"-",RANK.EQ(H433,$H$426:$H$433,0))</f>
        <v/>
      </c>
    </row>
  </sheetData>
  <mergeCells count="38">
    <mergeCell ref="A160:J160"/>
    <mergeCell ref="A244:J244"/>
    <mergeCell ref="A100:J100"/>
    <mergeCell ref="A424:J424"/>
    <mergeCell ref="A184:J184"/>
    <mergeCell ref="A4:J4"/>
    <mergeCell ref="A280:J280"/>
    <mergeCell ref="A52:J52"/>
    <mergeCell ref="A28:J28"/>
    <mergeCell ref="A112:J112"/>
    <mergeCell ref="A400:J400"/>
    <mergeCell ref="A220:J220"/>
    <mergeCell ref="A40:J40"/>
    <mergeCell ref="A328:J328"/>
    <mergeCell ref="A352:J352"/>
    <mergeCell ref="A148:J148"/>
    <mergeCell ref="A412:J412"/>
    <mergeCell ref="A232:J232"/>
    <mergeCell ref="A304:J304"/>
    <mergeCell ref="A64:J64"/>
    <mergeCell ref="A340:J340"/>
    <mergeCell ref="A1:J1"/>
    <mergeCell ref="A88:J88"/>
    <mergeCell ref="A124:J124"/>
    <mergeCell ref="A196:J196"/>
    <mergeCell ref="A172:J172"/>
    <mergeCell ref="A16:J16"/>
    <mergeCell ref="A256:J256"/>
    <mergeCell ref="A316:J316"/>
    <mergeCell ref="A292:J292"/>
    <mergeCell ref="A268:J268"/>
    <mergeCell ref="A388:J388"/>
    <mergeCell ref="A364:J364"/>
    <mergeCell ref="A208:J208"/>
    <mergeCell ref="A136:J136"/>
    <mergeCell ref="A376:J376"/>
    <mergeCell ref="A2:J2"/>
    <mergeCell ref="A76:J76"/>
  </mergeCells>
  <conditionalFormatting sqref="J6:J13">
    <cfRule type="cellIs" priority="1" operator="equal" dxfId="0">
      <formula>1</formula>
    </cfRule>
    <cfRule type="cellIs" priority="2" operator="equal" dxfId="1">
      <formula>2</formula>
    </cfRule>
    <cfRule type="cellIs" priority="3" operator="equal" dxfId="2">
      <formula>3</formula>
    </cfRule>
  </conditionalFormatting>
  <conditionalFormatting sqref="J18:J25">
    <cfRule type="cellIs" priority="4" operator="equal" dxfId="0">
      <formula>1</formula>
    </cfRule>
    <cfRule type="cellIs" priority="5" operator="equal" dxfId="1">
      <formula>2</formula>
    </cfRule>
    <cfRule type="cellIs" priority="6" operator="equal" dxfId="2">
      <formula>3</formula>
    </cfRule>
  </conditionalFormatting>
  <conditionalFormatting sqref="J30:J37">
    <cfRule type="cellIs" priority="7" operator="equal" dxfId="0">
      <formula>1</formula>
    </cfRule>
    <cfRule type="cellIs" priority="8" operator="equal" dxfId="1">
      <formula>2</formula>
    </cfRule>
    <cfRule type="cellIs" priority="9" operator="equal" dxfId="2">
      <formula>3</formula>
    </cfRule>
  </conditionalFormatting>
  <conditionalFormatting sqref="J42:J49">
    <cfRule type="cellIs" priority="10" operator="equal" dxfId="0">
      <formula>1</formula>
    </cfRule>
    <cfRule type="cellIs" priority="11" operator="equal" dxfId="1">
      <formula>2</formula>
    </cfRule>
    <cfRule type="cellIs" priority="12" operator="equal" dxfId="2">
      <formula>3</formula>
    </cfRule>
  </conditionalFormatting>
  <conditionalFormatting sqref="J54:J61">
    <cfRule type="cellIs" priority="13" operator="equal" dxfId="0">
      <formula>1</formula>
    </cfRule>
    <cfRule type="cellIs" priority="14" operator="equal" dxfId="1">
      <formula>2</formula>
    </cfRule>
    <cfRule type="cellIs" priority="15" operator="equal" dxfId="2">
      <formula>3</formula>
    </cfRule>
  </conditionalFormatting>
  <conditionalFormatting sqref="J66:J73">
    <cfRule type="cellIs" priority="16" operator="equal" dxfId="0">
      <formula>1</formula>
    </cfRule>
    <cfRule type="cellIs" priority="17" operator="equal" dxfId="1">
      <formula>2</formula>
    </cfRule>
    <cfRule type="cellIs" priority="18" operator="equal" dxfId="2">
      <formula>3</formula>
    </cfRule>
  </conditionalFormatting>
  <conditionalFormatting sqref="J78:J85">
    <cfRule type="cellIs" priority="19" operator="equal" dxfId="0">
      <formula>1</formula>
    </cfRule>
    <cfRule type="cellIs" priority="20" operator="equal" dxfId="1">
      <formula>2</formula>
    </cfRule>
    <cfRule type="cellIs" priority="21" operator="equal" dxfId="2">
      <formula>3</formula>
    </cfRule>
  </conditionalFormatting>
  <conditionalFormatting sqref="J90:J97">
    <cfRule type="cellIs" priority="22" operator="equal" dxfId="0">
      <formula>1</formula>
    </cfRule>
    <cfRule type="cellIs" priority="23" operator="equal" dxfId="1">
      <formula>2</formula>
    </cfRule>
    <cfRule type="cellIs" priority="24" operator="equal" dxfId="2">
      <formula>3</formula>
    </cfRule>
  </conditionalFormatting>
  <conditionalFormatting sqref="J102:J109">
    <cfRule type="cellIs" priority="25" operator="equal" dxfId="0">
      <formula>1</formula>
    </cfRule>
    <cfRule type="cellIs" priority="26" operator="equal" dxfId="1">
      <formula>2</formula>
    </cfRule>
    <cfRule type="cellIs" priority="27" operator="equal" dxfId="2">
      <formula>3</formula>
    </cfRule>
  </conditionalFormatting>
  <conditionalFormatting sqref="J114:J121">
    <cfRule type="cellIs" priority="28" operator="equal" dxfId="0">
      <formula>1</formula>
    </cfRule>
    <cfRule type="cellIs" priority="29" operator="equal" dxfId="1">
      <formula>2</formula>
    </cfRule>
    <cfRule type="cellIs" priority="30" operator="equal" dxfId="2">
      <formula>3</formula>
    </cfRule>
  </conditionalFormatting>
  <conditionalFormatting sqref="J126:J133">
    <cfRule type="cellIs" priority="31" operator="equal" dxfId="0">
      <formula>1</formula>
    </cfRule>
    <cfRule type="cellIs" priority="32" operator="equal" dxfId="1">
      <formula>2</formula>
    </cfRule>
    <cfRule type="cellIs" priority="33" operator="equal" dxfId="2">
      <formula>3</formula>
    </cfRule>
  </conditionalFormatting>
  <conditionalFormatting sqref="J138:J145">
    <cfRule type="cellIs" priority="34" operator="equal" dxfId="0">
      <formula>1</formula>
    </cfRule>
    <cfRule type="cellIs" priority="35" operator="equal" dxfId="1">
      <formula>2</formula>
    </cfRule>
    <cfRule type="cellIs" priority="36" operator="equal" dxfId="2">
      <formula>3</formula>
    </cfRule>
  </conditionalFormatting>
  <conditionalFormatting sqref="J150:J157">
    <cfRule type="cellIs" priority="37" operator="equal" dxfId="0">
      <formula>1</formula>
    </cfRule>
    <cfRule type="cellIs" priority="38" operator="equal" dxfId="1">
      <formula>2</formula>
    </cfRule>
    <cfRule type="cellIs" priority="39" operator="equal" dxfId="2">
      <formula>3</formula>
    </cfRule>
  </conditionalFormatting>
  <conditionalFormatting sqref="J162:J169">
    <cfRule type="cellIs" priority="40" operator="equal" dxfId="0">
      <formula>1</formula>
    </cfRule>
    <cfRule type="cellIs" priority="41" operator="equal" dxfId="1">
      <formula>2</formula>
    </cfRule>
    <cfRule type="cellIs" priority="42" operator="equal" dxfId="2">
      <formula>3</formula>
    </cfRule>
  </conditionalFormatting>
  <conditionalFormatting sqref="J174:J181">
    <cfRule type="cellIs" priority="43" operator="equal" dxfId="0">
      <formula>1</formula>
    </cfRule>
    <cfRule type="cellIs" priority="44" operator="equal" dxfId="1">
      <formula>2</formula>
    </cfRule>
    <cfRule type="cellIs" priority="45" operator="equal" dxfId="2">
      <formula>3</formula>
    </cfRule>
  </conditionalFormatting>
  <conditionalFormatting sqref="J186:J193">
    <cfRule type="cellIs" priority="46" operator="equal" dxfId="0">
      <formula>1</formula>
    </cfRule>
    <cfRule type="cellIs" priority="47" operator="equal" dxfId="1">
      <formula>2</formula>
    </cfRule>
    <cfRule type="cellIs" priority="48" operator="equal" dxfId="2">
      <formula>3</formula>
    </cfRule>
  </conditionalFormatting>
  <conditionalFormatting sqref="J198:J205">
    <cfRule type="cellIs" priority="49" operator="equal" dxfId="0">
      <formula>1</formula>
    </cfRule>
    <cfRule type="cellIs" priority="50" operator="equal" dxfId="1">
      <formula>2</formula>
    </cfRule>
    <cfRule type="cellIs" priority="51" operator="equal" dxfId="2">
      <formula>3</formula>
    </cfRule>
  </conditionalFormatting>
  <conditionalFormatting sqref="J210:J217">
    <cfRule type="cellIs" priority="52" operator="equal" dxfId="0">
      <formula>1</formula>
    </cfRule>
    <cfRule type="cellIs" priority="53" operator="equal" dxfId="1">
      <formula>2</formula>
    </cfRule>
    <cfRule type="cellIs" priority="54" operator="equal" dxfId="2">
      <formula>3</formula>
    </cfRule>
  </conditionalFormatting>
  <conditionalFormatting sqref="J222:J229">
    <cfRule type="cellIs" priority="55" operator="equal" dxfId="0">
      <formula>1</formula>
    </cfRule>
    <cfRule type="cellIs" priority="56" operator="equal" dxfId="1">
      <formula>2</formula>
    </cfRule>
    <cfRule type="cellIs" priority="57" operator="equal" dxfId="2">
      <formula>3</formula>
    </cfRule>
  </conditionalFormatting>
  <conditionalFormatting sqref="J234:J241">
    <cfRule type="cellIs" priority="58" operator="equal" dxfId="0">
      <formula>1</formula>
    </cfRule>
    <cfRule type="cellIs" priority="59" operator="equal" dxfId="1">
      <formula>2</formula>
    </cfRule>
    <cfRule type="cellIs" priority="60" operator="equal" dxfId="2">
      <formula>3</formula>
    </cfRule>
  </conditionalFormatting>
  <conditionalFormatting sqref="J246:J253">
    <cfRule type="cellIs" priority="61" operator="equal" dxfId="0">
      <formula>1</formula>
    </cfRule>
    <cfRule type="cellIs" priority="62" operator="equal" dxfId="1">
      <formula>2</formula>
    </cfRule>
    <cfRule type="cellIs" priority="63" operator="equal" dxfId="2">
      <formula>3</formula>
    </cfRule>
  </conditionalFormatting>
  <conditionalFormatting sqref="J258:J265">
    <cfRule type="cellIs" priority="64" operator="equal" dxfId="0">
      <formula>1</formula>
    </cfRule>
    <cfRule type="cellIs" priority="65" operator="equal" dxfId="1">
      <formula>2</formula>
    </cfRule>
    <cfRule type="cellIs" priority="66" operator="equal" dxfId="2">
      <formula>3</formula>
    </cfRule>
  </conditionalFormatting>
  <conditionalFormatting sqref="J270:J277">
    <cfRule type="cellIs" priority="67" operator="equal" dxfId="0">
      <formula>1</formula>
    </cfRule>
    <cfRule type="cellIs" priority="68" operator="equal" dxfId="1">
      <formula>2</formula>
    </cfRule>
    <cfRule type="cellIs" priority="69" operator="equal" dxfId="2">
      <formula>3</formula>
    </cfRule>
  </conditionalFormatting>
  <conditionalFormatting sqref="J282:J289">
    <cfRule type="cellIs" priority="70" operator="equal" dxfId="0">
      <formula>1</formula>
    </cfRule>
    <cfRule type="cellIs" priority="71" operator="equal" dxfId="1">
      <formula>2</formula>
    </cfRule>
    <cfRule type="cellIs" priority="72" operator="equal" dxfId="2">
      <formula>3</formula>
    </cfRule>
  </conditionalFormatting>
  <conditionalFormatting sqref="J294:J301">
    <cfRule type="cellIs" priority="73" operator="equal" dxfId="0">
      <formula>1</formula>
    </cfRule>
    <cfRule type="cellIs" priority="74" operator="equal" dxfId="1">
      <formula>2</formula>
    </cfRule>
    <cfRule type="cellIs" priority="75" operator="equal" dxfId="2">
      <formula>3</formula>
    </cfRule>
  </conditionalFormatting>
  <conditionalFormatting sqref="J306:J313">
    <cfRule type="cellIs" priority="76" operator="equal" dxfId="0">
      <formula>1</formula>
    </cfRule>
    <cfRule type="cellIs" priority="77" operator="equal" dxfId="1">
      <formula>2</formula>
    </cfRule>
    <cfRule type="cellIs" priority="78" operator="equal" dxfId="2">
      <formula>3</formula>
    </cfRule>
  </conditionalFormatting>
  <conditionalFormatting sqref="J318:J325">
    <cfRule type="cellIs" priority="79" operator="equal" dxfId="0">
      <formula>1</formula>
    </cfRule>
    <cfRule type="cellIs" priority="80" operator="equal" dxfId="1">
      <formula>2</formula>
    </cfRule>
    <cfRule type="cellIs" priority="81" operator="equal" dxfId="2">
      <formula>3</formula>
    </cfRule>
  </conditionalFormatting>
  <conditionalFormatting sqref="J330:J337">
    <cfRule type="cellIs" priority="82" operator="equal" dxfId="0">
      <formula>1</formula>
    </cfRule>
    <cfRule type="cellIs" priority="83" operator="equal" dxfId="1">
      <formula>2</formula>
    </cfRule>
    <cfRule type="cellIs" priority="84" operator="equal" dxfId="2">
      <formula>3</formula>
    </cfRule>
  </conditionalFormatting>
  <conditionalFormatting sqref="J342:J349">
    <cfRule type="cellIs" priority="85" operator="equal" dxfId="0">
      <formula>1</formula>
    </cfRule>
    <cfRule type="cellIs" priority="86" operator="equal" dxfId="1">
      <formula>2</formula>
    </cfRule>
    <cfRule type="cellIs" priority="87" operator="equal" dxfId="2">
      <formula>3</formula>
    </cfRule>
  </conditionalFormatting>
  <conditionalFormatting sqref="J354:J361">
    <cfRule type="cellIs" priority="88" operator="equal" dxfId="0">
      <formula>1</formula>
    </cfRule>
    <cfRule type="cellIs" priority="89" operator="equal" dxfId="1">
      <formula>2</formula>
    </cfRule>
    <cfRule type="cellIs" priority="90" operator="equal" dxfId="2">
      <formula>3</formula>
    </cfRule>
  </conditionalFormatting>
  <conditionalFormatting sqref="J366:J373">
    <cfRule type="cellIs" priority="91" operator="equal" dxfId="0">
      <formula>1</formula>
    </cfRule>
    <cfRule type="cellIs" priority="92" operator="equal" dxfId="1">
      <formula>2</formula>
    </cfRule>
    <cfRule type="cellIs" priority="93" operator="equal" dxfId="2">
      <formula>3</formula>
    </cfRule>
  </conditionalFormatting>
  <conditionalFormatting sqref="J378:J385">
    <cfRule type="cellIs" priority="94" operator="equal" dxfId="0">
      <formula>1</formula>
    </cfRule>
    <cfRule type="cellIs" priority="95" operator="equal" dxfId="1">
      <formula>2</formula>
    </cfRule>
    <cfRule type="cellIs" priority="96" operator="equal" dxfId="2">
      <formula>3</formula>
    </cfRule>
  </conditionalFormatting>
  <conditionalFormatting sqref="J390:J397">
    <cfRule type="cellIs" priority="97" operator="equal" dxfId="0">
      <formula>1</formula>
    </cfRule>
    <cfRule type="cellIs" priority="98" operator="equal" dxfId="1">
      <formula>2</formula>
    </cfRule>
    <cfRule type="cellIs" priority="99" operator="equal" dxfId="2">
      <formula>3</formula>
    </cfRule>
  </conditionalFormatting>
  <conditionalFormatting sqref="J402:J409">
    <cfRule type="cellIs" priority="100" operator="equal" dxfId="0">
      <formula>1</formula>
    </cfRule>
    <cfRule type="cellIs" priority="101" operator="equal" dxfId="1">
      <formula>2</formula>
    </cfRule>
    <cfRule type="cellIs" priority="102" operator="equal" dxfId="2">
      <formula>3</formula>
    </cfRule>
  </conditionalFormatting>
  <conditionalFormatting sqref="J414:J421">
    <cfRule type="cellIs" priority="103" operator="equal" dxfId="0">
      <formula>1</formula>
    </cfRule>
    <cfRule type="cellIs" priority="104" operator="equal" dxfId="1">
      <formula>2</formula>
    </cfRule>
    <cfRule type="cellIs" priority="105" operator="equal" dxfId="2">
      <formula>3</formula>
    </cfRule>
  </conditionalFormatting>
  <conditionalFormatting sqref="J426:J433">
    <cfRule type="cellIs" priority="106" operator="equal" dxfId="0">
      <formula>1</formula>
    </cfRule>
    <cfRule type="cellIs" priority="107" operator="equal" dxfId="1">
      <formula>2</formula>
    </cfRule>
    <cfRule type="cellIs" priority="108" operator="equal" dxfId="2">
      <formula>3</formula>
    </cfRule>
  </conditionalFormatting>
  <dataValidations count="1">
    <dataValidation sqref="I6 I7 I8 I9 I10 I11 I12 I13 I18 I19 I20 I21 I22 I23 I24 I25 I30 I31 I32 I33 I34 I35 I36 I37 I42 I43 I44 I45 I46 I47 I48 I49 I54 I55 I56 I57 I58 I59 I60 I61 I66 I67 I68 I69 I70 I71 I72 I73 I78 I79 I80 I81 I82 I83 I84 I85 I90 I91 I92 I93 I94 I95 I96 I97 I102 I103 I104 I105 I106 I107 I108 I109 I114 I115 I116 I117 I118 I119 I120 I121 I126 I127 I128 I129 I130 I131 I132 I133 I138 I139 I140 I141 I142 I143 I144 I145 I150 I151 I152 I153 I154 I155 I156 I157 I162 I163 I164 I165 I166 I167 I168 I169 I174 I175 I176 I177 I178 I179 I180 I181 I186 I187 I188 I189 I190 I191 I192 I193 I198 I199 I200 I201 I202 I203 I204 I205 I210 I211 I212 I213 I214 I215 I216 I217 I222 I223 I224 I225 I226 I227 I228 I229 I234 I235 I236 I237 I238 I239 I240 I241 I246 I247 I248 I249 I250 I251 I252 I253 I258 I259 I260 I261 I262 I263 I264 I265 I270 I271 I272 I273 I274 I275 I276 I277 I282 I283 I284 I285 I286 I287 I288 I289 I294 I295 I296 I297 I298 I299 I300 I301 I306 I307 I308 I309 I310 I311 I312 I313 I318 I319 I320 I321 I322 I323 I324 I325 I330 I331 I332 I333 I334 I335 I336 I337 I342 I343 I344 I345 I346 I347 I348 I349 I354 I355 I356 I357 I358 I359 I360 I361 I366 I367 I368 I369 I370 I371 I372 I373 I378 I379 I380 I381 I382 I383 I384 I385 I390 I391 I392 I393 I394 I395 I396 I397 I402 I403 I404 I405 I406 I407 I408 I409 I414 I415 I416 I417 I418 I419 I420 I421 I426 I427 I428 I429 I430 I431 I432 I433" showDropDown="0" showInputMessage="0" showErrorMessage="0" allowBlank="1" type="list">
      <formula1>"N,G,D"</formula1>
    </dataValidation>
  </dataValidations>
  <pageMargins left="0.75" right="0.75" top="1" bottom="1" header="0.5" footer="0.5"/>
  <pageSetup orientation="landscape" fitToWidth="1"/>
</worksheet>
</file>

<file path=xl/worksheets/sheet15.xml><?xml version="1.0" encoding="utf-8"?>
<worksheet xmlns="http://schemas.openxmlformats.org/spreadsheetml/2006/main">
  <sheetPr>
    <outlinePr summaryBelow="1" summaryRight="1"/>
    <pageSetUpPr fitToPage="1"/>
  </sheetPr>
  <dimension ref="A1:H681"/>
  <sheetViews>
    <sheetView showGridLines="0" workbookViewId="0">
      <pane ySplit="3" topLeftCell="A4" activePane="bottomLeft" state="frozen"/>
      <selection pane="bottomLeft" activeCell="A1" sqref="A1"/>
    </sheetView>
  </sheetViews>
  <sheetFormatPr baseColWidth="8" defaultRowHeight="15"/>
  <cols>
    <col width="16" customWidth="1" min="1" max="1"/>
    <col width="7" customWidth="1" min="2" max="2"/>
    <col width="5" customWidth="1" min="3" max="3"/>
    <col width="13" customWidth="1" min="4" max="4"/>
    <col width="15" customWidth="1" min="5" max="5"/>
    <col width="28" customWidth="1" min="6" max="6"/>
    <col width="10" customWidth="1" min="7" max="7"/>
    <col width="16" customWidth="1" min="8" max="8"/>
  </cols>
  <sheetData>
    <row r="1" ht="32" customHeight="1">
      <c r="A1" s="19" t="inlineStr">
        <is>
          <t>ÇIKIŞ SIRASI  —  TÜM KATEGORİLER</t>
        </is>
      </c>
    </row>
    <row r="2" ht="14" customHeight="1">
      <c r="A2" s="23" t="inlineStr">
        <is>
          <t>Sporcuları manuel olarak gruplara atayın. Maksimum 8 sporcu / grup.</t>
        </is>
      </c>
    </row>
    <row r="4" ht="22" customHeight="1">
      <c r="A4" s="49" t="inlineStr">
        <is>
          <t>MİNİK A KIZLAR</t>
        </is>
      </c>
    </row>
    <row r="5" ht="20" customHeight="1">
      <c r="A5" s="62" t="inlineStr">
        <is>
          <t>KATEGORİ</t>
        </is>
      </c>
      <c r="B5" s="62" t="inlineStr">
        <is>
          <t>GRUP</t>
        </is>
      </c>
      <c r="C5" s="62" t="inlineStr">
        <is>
          <t>SIRA</t>
        </is>
      </c>
      <c r="D5" s="62" t="inlineStr">
        <is>
          <t>AD</t>
        </is>
      </c>
      <c r="E5" s="62" t="inlineStr">
        <is>
          <t>SOYAD</t>
        </is>
      </c>
      <c r="F5" s="62" t="inlineStr">
        <is>
          <t>OKUL / KULÜP</t>
        </is>
      </c>
      <c r="G5" s="62" t="inlineStr">
        <is>
          <t>TÜR</t>
        </is>
      </c>
      <c r="H5" s="62" t="inlineStr">
        <is>
          <t>ANTRENÖR / ÖĞR.</t>
        </is>
      </c>
    </row>
    <row r="6" ht="17" customHeight="1">
      <c r="A6" s="63" t="inlineStr">
        <is>
          <t>MİNİK A KIZLAR</t>
        </is>
      </c>
      <c r="B6" s="64" t="inlineStr">
        <is>
          <t>Grup 1</t>
        </is>
      </c>
      <c r="C6" s="65" t="n">
        <v>1</v>
      </c>
      <c r="D6" s="30" t="n"/>
      <c r="E6" s="30" t="n"/>
      <c r="F6" s="30" t="n"/>
      <c r="G6" s="32" t="n"/>
      <c r="H6" s="30" t="n"/>
    </row>
    <row r="7" ht="17" customHeight="1">
      <c r="A7" s="63" t="inlineStr">
        <is>
          <t>MİNİK A KIZLAR</t>
        </is>
      </c>
      <c r="B7" s="66" t="inlineStr">
        <is>
          <t>Grup 1</t>
        </is>
      </c>
      <c r="C7" s="65" t="n">
        <v>2</v>
      </c>
      <c r="D7" s="30" t="n"/>
      <c r="E7" s="30" t="n"/>
      <c r="F7" s="30" t="n"/>
      <c r="G7" s="32" t="n"/>
      <c r="H7" s="30" t="n"/>
    </row>
    <row r="8" ht="17" customHeight="1">
      <c r="A8" s="63" t="inlineStr">
        <is>
          <t>MİNİK A KIZLAR</t>
        </is>
      </c>
      <c r="B8" s="66" t="inlineStr">
        <is>
          <t>Grup 1</t>
        </is>
      </c>
      <c r="C8" s="65" t="n">
        <v>3</v>
      </c>
      <c r="D8" s="30" t="n"/>
      <c r="E8" s="30" t="n"/>
      <c r="F8" s="30" t="n"/>
      <c r="G8" s="32" t="n"/>
      <c r="H8" s="30" t="n"/>
    </row>
    <row r="9" ht="17" customHeight="1">
      <c r="A9" s="63" t="inlineStr">
        <is>
          <t>MİNİK A KIZLAR</t>
        </is>
      </c>
      <c r="B9" s="66" t="inlineStr">
        <is>
          <t>Grup 1</t>
        </is>
      </c>
      <c r="C9" s="65" t="n">
        <v>4</v>
      </c>
      <c r="D9" s="30" t="n"/>
      <c r="E9" s="30" t="n"/>
      <c r="F9" s="30" t="n"/>
      <c r="G9" s="32" t="n"/>
      <c r="H9" s="30" t="n"/>
    </row>
    <row r="10" ht="17" customHeight="1">
      <c r="A10" s="63" t="inlineStr">
        <is>
          <t>MİNİK A KIZLAR</t>
        </is>
      </c>
      <c r="B10" s="66" t="inlineStr">
        <is>
          <t>Grup 1</t>
        </is>
      </c>
      <c r="C10" s="65" t="n">
        <v>5</v>
      </c>
      <c r="D10" s="30" t="n"/>
      <c r="E10" s="30" t="n"/>
      <c r="F10" s="30" t="n"/>
      <c r="G10" s="32" t="n"/>
      <c r="H10" s="30" t="n"/>
    </row>
    <row r="11" ht="17" customHeight="1">
      <c r="A11" s="63" t="inlineStr">
        <is>
          <t>MİNİK A KIZLAR</t>
        </is>
      </c>
      <c r="B11" s="66" t="inlineStr">
        <is>
          <t>Grup 1</t>
        </is>
      </c>
      <c r="C11" s="65" t="n">
        <v>6</v>
      </c>
      <c r="D11" s="30" t="n"/>
      <c r="E11" s="30" t="n"/>
      <c r="F11" s="30" t="n"/>
      <c r="G11" s="32" t="n"/>
      <c r="H11" s="30" t="n"/>
    </row>
    <row r="12" ht="17" customHeight="1">
      <c r="A12" s="63" t="inlineStr">
        <is>
          <t>MİNİK A KIZLAR</t>
        </is>
      </c>
      <c r="B12" s="66" t="inlineStr">
        <is>
          <t>Grup 1</t>
        </is>
      </c>
      <c r="C12" s="65" t="n">
        <v>7</v>
      </c>
      <c r="D12" s="30" t="n"/>
      <c r="E12" s="30" t="n"/>
      <c r="F12" s="30" t="n"/>
      <c r="G12" s="32" t="n"/>
      <c r="H12" s="30" t="n"/>
    </row>
    <row r="13" ht="17" customHeight="1">
      <c r="A13" s="63" t="inlineStr">
        <is>
          <t>MİNİK A KIZLAR</t>
        </is>
      </c>
      <c r="B13" s="66" t="inlineStr">
        <is>
          <t>Grup 1</t>
        </is>
      </c>
      <c r="C13" s="65" t="n">
        <v>8</v>
      </c>
      <c r="D13" s="30" t="n"/>
      <c r="E13" s="30" t="n"/>
      <c r="F13" s="30" t="n"/>
      <c r="G13" s="32" t="n"/>
      <c r="H13" s="30" t="n"/>
    </row>
    <row r="14" ht="17" customHeight="1">
      <c r="A14" s="67" t="inlineStr">
        <is>
          <t>MİNİK A KIZLAR</t>
        </is>
      </c>
      <c r="B14" s="68" t="inlineStr">
        <is>
          <t>Grup 2</t>
        </is>
      </c>
      <c r="C14" s="69" t="n">
        <v>1</v>
      </c>
      <c r="D14" s="70" t="n"/>
      <c r="E14" s="70" t="n"/>
      <c r="F14" s="70" t="n"/>
      <c r="G14" s="71" t="n"/>
      <c r="H14" s="70" t="n"/>
    </row>
    <row r="15" ht="17" customHeight="1">
      <c r="A15" s="67" t="inlineStr">
        <is>
          <t>MİNİK A KIZLAR</t>
        </is>
      </c>
      <c r="B15" s="72" t="inlineStr">
        <is>
          <t>Grup 2</t>
        </is>
      </c>
      <c r="C15" s="69" t="n">
        <v>2</v>
      </c>
      <c r="D15" s="70" t="n"/>
      <c r="E15" s="70" t="n"/>
      <c r="F15" s="70" t="n"/>
      <c r="G15" s="71" t="n"/>
      <c r="H15" s="70" t="n"/>
    </row>
    <row r="16" ht="17" customHeight="1">
      <c r="A16" s="67" t="inlineStr">
        <is>
          <t>MİNİK A KIZLAR</t>
        </is>
      </c>
      <c r="B16" s="72" t="inlineStr">
        <is>
          <t>Grup 2</t>
        </is>
      </c>
      <c r="C16" s="69" t="n">
        <v>3</v>
      </c>
      <c r="D16" s="70" t="n"/>
      <c r="E16" s="70" t="n"/>
      <c r="F16" s="70" t="n"/>
      <c r="G16" s="71" t="n"/>
      <c r="H16" s="70" t="n"/>
    </row>
    <row r="17" ht="17" customHeight="1">
      <c r="A17" s="67" t="inlineStr">
        <is>
          <t>MİNİK A KIZLAR</t>
        </is>
      </c>
      <c r="B17" s="72" t="inlineStr">
        <is>
          <t>Grup 2</t>
        </is>
      </c>
      <c r="C17" s="69" t="n">
        <v>4</v>
      </c>
      <c r="D17" s="70" t="n"/>
      <c r="E17" s="70" t="n"/>
      <c r="F17" s="70" t="n"/>
      <c r="G17" s="71" t="n"/>
      <c r="H17" s="70" t="n"/>
    </row>
    <row r="18" ht="17" customHeight="1">
      <c r="A18" s="67" t="inlineStr">
        <is>
          <t>MİNİK A KIZLAR</t>
        </is>
      </c>
      <c r="B18" s="72" t="inlineStr">
        <is>
          <t>Grup 2</t>
        </is>
      </c>
      <c r="C18" s="69" t="n">
        <v>5</v>
      </c>
      <c r="D18" s="70" t="n"/>
      <c r="E18" s="70" t="n"/>
      <c r="F18" s="70" t="n"/>
      <c r="G18" s="71" t="n"/>
      <c r="H18" s="70" t="n"/>
    </row>
    <row r="19" ht="17" customHeight="1">
      <c r="A19" s="67" t="inlineStr">
        <is>
          <t>MİNİK A KIZLAR</t>
        </is>
      </c>
      <c r="B19" s="72" t="inlineStr">
        <is>
          <t>Grup 2</t>
        </is>
      </c>
      <c r="C19" s="69" t="n">
        <v>6</v>
      </c>
      <c r="D19" s="70" t="n"/>
      <c r="E19" s="70" t="n"/>
      <c r="F19" s="70" t="n"/>
      <c r="G19" s="71" t="n"/>
      <c r="H19" s="70" t="n"/>
    </row>
    <row r="20" ht="17" customHeight="1">
      <c r="A20" s="67" t="inlineStr">
        <is>
          <t>MİNİK A KIZLAR</t>
        </is>
      </c>
      <c r="B20" s="72" t="inlineStr">
        <is>
          <t>Grup 2</t>
        </is>
      </c>
      <c r="C20" s="69" t="n">
        <v>7</v>
      </c>
      <c r="D20" s="70" t="n"/>
      <c r="E20" s="70" t="n"/>
      <c r="F20" s="70" t="n"/>
      <c r="G20" s="71" t="n"/>
      <c r="H20" s="70" t="n"/>
    </row>
    <row r="21" ht="17" customHeight="1">
      <c r="A21" s="67" t="inlineStr">
        <is>
          <t>MİNİK A KIZLAR</t>
        </is>
      </c>
      <c r="B21" s="72" t="inlineStr">
        <is>
          <t>Grup 2</t>
        </is>
      </c>
      <c r="C21" s="69" t="n">
        <v>8</v>
      </c>
      <c r="D21" s="70" t="n"/>
      <c r="E21" s="70" t="n"/>
      <c r="F21" s="70" t="n"/>
      <c r="G21" s="71" t="n"/>
      <c r="H21" s="70" t="n"/>
    </row>
    <row r="22" ht="17" customHeight="1">
      <c r="A22" s="63" t="inlineStr">
        <is>
          <t>MİNİK A KIZLAR</t>
        </is>
      </c>
      <c r="B22" s="64" t="inlineStr">
        <is>
          <t>Grup 3</t>
        </is>
      </c>
      <c r="C22" s="65" t="n">
        <v>1</v>
      </c>
      <c r="D22" s="30" t="n"/>
      <c r="E22" s="30" t="n"/>
      <c r="F22" s="30" t="n"/>
      <c r="G22" s="32" t="n"/>
      <c r="H22" s="30" t="n"/>
    </row>
    <row r="23" ht="17" customHeight="1">
      <c r="A23" s="63" t="inlineStr">
        <is>
          <t>MİNİK A KIZLAR</t>
        </is>
      </c>
      <c r="B23" s="66" t="inlineStr">
        <is>
          <t>Grup 3</t>
        </is>
      </c>
      <c r="C23" s="65" t="n">
        <v>2</v>
      </c>
      <c r="D23" s="30" t="n"/>
      <c r="E23" s="30" t="n"/>
      <c r="F23" s="30" t="n"/>
      <c r="G23" s="32" t="n"/>
      <c r="H23" s="30" t="n"/>
    </row>
    <row r="24" ht="17" customHeight="1">
      <c r="A24" s="63" t="inlineStr">
        <is>
          <t>MİNİK A KIZLAR</t>
        </is>
      </c>
      <c r="B24" s="66" t="inlineStr">
        <is>
          <t>Grup 3</t>
        </is>
      </c>
      <c r="C24" s="65" t="n">
        <v>3</v>
      </c>
      <c r="D24" s="30" t="n"/>
      <c r="E24" s="30" t="n"/>
      <c r="F24" s="30" t="n"/>
      <c r="G24" s="32" t="n"/>
      <c r="H24" s="30" t="n"/>
    </row>
    <row r="25" ht="17" customHeight="1">
      <c r="A25" s="63" t="inlineStr">
        <is>
          <t>MİNİK A KIZLAR</t>
        </is>
      </c>
      <c r="B25" s="66" t="inlineStr">
        <is>
          <t>Grup 3</t>
        </is>
      </c>
      <c r="C25" s="65" t="n">
        <v>4</v>
      </c>
      <c r="D25" s="30" t="n"/>
      <c r="E25" s="30" t="n"/>
      <c r="F25" s="30" t="n"/>
      <c r="G25" s="32" t="n"/>
      <c r="H25" s="30" t="n"/>
    </row>
    <row r="26" ht="17" customHeight="1">
      <c r="A26" s="63" t="inlineStr">
        <is>
          <t>MİNİK A KIZLAR</t>
        </is>
      </c>
      <c r="B26" s="66" t="inlineStr">
        <is>
          <t>Grup 3</t>
        </is>
      </c>
      <c r="C26" s="65" t="n">
        <v>5</v>
      </c>
      <c r="D26" s="30" t="n"/>
      <c r="E26" s="30" t="n"/>
      <c r="F26" s="30" t="n"/>
      <c r="G26" s="32" t="n"/>
      <c r="H26" s="30" t="n"/>
    </row>
    <row r="27" ht="17" customHeight="1">
      <c r="A27" s="63" t="inlineStr">
        <is>
          <t>MİNİK A KIZLAR</t>
        </is>
      </c>
      <c r="B27" s="66" t="inlineStr">
        <is>
          <t>Grup 3</t>
        </is>
      </c>
      <c r="C27" s="65" t="n">
        <v>6</v>
      </c>
      <c r="D27" s="30" t="n"/>
      <c r="E27" s="30" t="n"/>
      <c r="F27" s="30" t="n"/>
      <c r="G27" s="32" t="n"/>
      <c r="H27" s="30" t="n"/>
    </row>
    <row r="28" ht="17" customHeight="1">
      <c r="A28" s="63" t="inlineStr">
        <is>
          <t>MİNİK A KIZLAR</t>
        </is>
      </c>
      <c r="B28" s="66" t="inlineStr">
        <is>
          <t>Grup 3</t>
        </is>
      </c>
      <c r="C28" s="65" t="n">
        <v>7</v>
      </c>
      <c r="D28" s="30" t="n"/>
      <c r="E28" s="30" t="n"/>
      <c r="F28" s="30" t="n"/>
      <c r="G28" s="32" t="n"/>
      <c r="H28" s="30" t="n"/>
    </row>
    <row r="29" ht="17" customHeight="1">
      <c r="A29" s="63" t="inlineStr">
        <is>
          <t>MİNİK A KIZLAR</t>
        </is>
      </c>
      <c r="B29" s="66" t="inlineStr">
        <is>
          <t>Grup 3</t>
        </is>
      </c>
      <c r="C29" s="65" t="n">
        <v>8</v>
      </c>
      <c r="D29" s="30" t="n"/>
      <c r="E29" s="30" t="n"/>
      <c r="F29" s="30" t="n"/>
      <c r="G29" s="32" t="n"/>
      <c r="H29" s="30" t="n"/>
    </row>
    <row r="30" ht="17" customHeight="1">
      <c r="A30" s="67" t="inlineStr">
        <is>
          <t>MİNİK A KIZLAR</t>
        </is>
      </c>
      <c r="B30" s="68" t="inlineStr">
        <is>
          <t>Grup 4</t>
        </is>
      </c>
      <c r="C30" s="69" t="n">
        <v>1</v>
      </c>
      <c r="D30" s="70" t="n"/>
      <c r="E30" s="70" t="n"/>
      <c r="F30" s="70" t="n"/>
      <c r="G30" s="71" t="n"/>
      <c r="H30" s="70" t="n"/>
    </row>
    <row r="31" ht="17" customHeight="1">
      <c r="A31" s="67" t="inlineStr">
        <is>
          <t>MİNİK A KIZLAR</t>
        </is>
      </c>
      <c r="B31" s="72" t="inlineStr">
        <is>
          <t>Grup 4</t>
        </is>
      </c>
      <c r="C31" s="69" t="n">
        <v>2</v>
      </c>
      <c r="D31" s="70" t="n"/>
      <c r="E31" s="70" t="n"/>
      <c r="F31" s="70" t="n"/>
      <c r="G31" s="71" t="n"/>
      <c r="H31" s="70" t="n"/>
    </row>
    <row r="32" ht="17" customHeight="1">
      <c r="A32" s="67" t="inlineStr">
        <is>
          <t>MİNİK A KIZLAR</t>
        </is>
      </c>
      <c r="B32" s="72" t="inlineStr">
        <is>
          <t>Grup 4</t>
        </is>
      </c>
      <c r="C32" s="69" t="n">
        <v>3</v>
      </c>
      <c r="D32" s="70" t="n"/>
      <c r="E32" s="70" t="n"/>
      <c r="F32" s="70" t="n"/>
      <c r="G32" s="71" t="n"/>
      <c r="H32" s="70" t="n"/>
    </row>
    <row r="33" ht="17" customHeight="1">
      <c r="A33" s="67" t="inlineStr">
        <is>
          <t>MİNİK A KIZLAR</t>
        </is>
      </c>
      <c r="B33" s="72" t="inlineStr">
        <is>
          <t>Grup 4</t>
        </is>
      </c>
      <c r="C33" s="69" t="n">
        <v>4</v>
      </c>
      <c r="D33" s="70" t="n"/>
      <c r="E33" s="70" t="n"/>
      <c r="F33" s="70" t="n"/>
      <c r="G33" s="71" t="n"/>
      <c r="H33" s="70" t="n"/>
    </row>
    <row r="34" ht="17" customHeight="1">
      <c r="A34" s="67" t="inlineStr">
        <is>
          <t>MİNİK A KIZLAR</t>
        </is>
      </c>
      <c r="B34" s="72" t="inlineStr">
        <is>
          <t>Grup 4</t>
        </is>
      </c>
      <c r="C34" s="69" t="n">
        <v>5</v>
      </c>
      <c r="D34" s="70" t="n"/>
      <c r="E34" s="70" t="n"/>
      <c r="F34" s="70" t="n"/>
      <c r="G34" s="71" t="n"/>
      <c r="H34" s="70" t="n"/>
    </row>
    <row r="35" ht="17" customHeight="1">
      <c r="A35" s="67" t="inlineStr">
        <is>
          <t>MİNİK A KIZLAR</t>
        </is>
      </c>
      <c r="B35" s="72" t="inlineStr">
        <is>
          <t>Grup 4</t>
        </is>
      </c>
      <c r="C35" s="69" t="n">
        <v>6</v>
      </c>
      <c r="D35" s="70" t="n"/>
      <c r="E35" s="70" t="n"/>
      <c r="F35" s="70" t="n"/>
      <c r="G35" s="71" t="n"/>
      <c r="H35" s="70" t="n"/>
    </row>
    <row r="36" ht="17" customHeight="1">
      <c r="A36" s="67" t="inlineStr">
        <is>
          <t>MİNİK A KIZLAR</t>
        </is>
      </c>
      <c r="B36" s="72" t="inlineStr">
        <is>
          <t>Grup 4</t>
        </is>
      </c>
      <c r="C36" s="69" t="n">
        <v>7</v>
      </c>
      <c r="D36" s="70" t="n"/>
      <c r="E36" s="70" t="n"/>
      <c r="F36" s="70" t="n"/>
      <c r="G36" s="71" t="n"/>
      <c r="H36" s="70" t="n"/>
    </row>
    <row r="37" ht="17" customHeight="1">
      <c r="A37" s="67" t="inlineStr">
        <is>
          <t>MİNİK A KIZLAR</t>
        </is>
      </c>
      <c r="B37" s="72" t="inlineStr">
        <is>
          <t>Grup 4</t>
        </is>
      </c>
      <c r="C37" s="69" t="n">
        <v>8</v>
      </c>
      <c r="D37" s="70" t="n"/>
      <c r="E37" s="70" t="n"/>
      <c r="F37" s="70" t="n"/>
      <c r="G37" s="71" t="n"/>
      <c r="H37" s="70" t="n"/>
    </row>
    <row r="38" ht="17" customHeight="1">
      <c r="A38" s="63" t="inlineStr">
        <is>
          <t>MİNİK A KIZLAR</t>
        </is>
      </c>
      <c r="B38" s="64" t="inlineStr">
        <is>
          <t>Grup 5</t>
        </is>
      </c>
      <c r="C38" s="65" t="n">
        <v>1</v>
      </c>
      <c r="D38" s="30" t="n"/>
      <c r="E38" s="30" t="n"/>
      <c r="F38" s="30" t="n"/>
      <c r="G38" s="32" t="n"/>
      <c r="H38" s="30" t="n"/>
    </row>
    <row r="39" ht="17" customHeight="1">
      <c r="A39" s="63" t="inlineStr">
        <is>
          <t>MİNİK A KIZLAR</t>
        </is>
      </c>
      <c r="B39" s="66" t="inlineStr">
        <is>
          <t>Grup 5</t>
        </is>
      </c>
      <c r="C39" s="65" t="n">
        <v>2</v>
      </c>
      <c r="D39" s="30" t="n"/>
      <c r="E39" s="30" t="n"/>
      <c r="F39" s="30" t="n"/>
      <c r="G39" s="32" t="n"/>
      <c r="H39" s="30" t="n"/>
    </row>
    <row r="40" ht="17" customHeight="1">
      <c r="A40" s="63" t="inlineStr">
        <is>
          <t>MİNİK A KIZLAR</t>
        </is>
      </c>
      <c r="B40" s="66" t="inlineStr">
        <is>
          <t>Grup 5</t>
        </is>
      </c>
      <c r="C40" s="65" t="n">
        <v>3</v>
      </c>
      <c r="D40" s="30" t="n"/>
      <c r="E40" s="30" t="n"/>
      <c r="F40" s="30" t="n"/>
      <c r="G40" s="32" t="n"/>
      <c r="H40" s="30" t="n"/>
    </row>
    <row r="41" ht="17" customHeight="1">
      <c r="A41" s="63" t="inlineStr">
        <is>
          <t>MİNİK A KIZLAR</t>
        </is>
      </c>
      <c r="B41" s="66" t="inlineStr">
        <is>
          <t>Grup 5</t>
        </is>
      </c>
      <c r="C41" s="65" t="n">
        <v>4</v>
      </c>
      <c r="D41" s="30" t="n"/>
      <c r="E41" s="30" t="n"/>
      <c r="F41" s="30" t="n"/>
      <c r="G41" s="32" t="n"/>
      <c r="H41" s="30" t="n"/>
    </row>
    <row r="42" ht="17" customHeight="1">
      <c r="A42" s="63" t="inlineStr">
        <is>
          <t>MİNİK A KIZLAR</t>
        </is>
      </c>
      <c r="B42" s="66" t="inlineStr">
        <is>
          <t>Grup 5</t>
        </is>
      </c>
      <c r="C42" s="65" t="n">
        <v>5</v>
      </c>
      <c r="D42" s="30" t="n"/>
      <c r="E42" s="30" t="n"/>
      <c r="F42" s="30" t="n"/>
      <c r="G42" s="32" t="n"/>
      <c r="H42" s="30" t="n"/>
    </row>
    <row r="43" ht="17" customHeight="1">
      <c r="A43" s="63" t="inlineStr">
        <is>
          <t>MİNİK A KIZLAR</t>
        </is>
      </c>
      <c r="B43" s="66" t="inlineStr">
        <is>
          <t>Grup 5</t>
        </is>
      </c>
      <c r="C43" s="65" t="n">
        <v>6</v>
      </c>
      <c r="D43" s="30" t="n"/>
      <c r="E43" s="30" t="n"/>
      <c r="F43" s="30" t="n"/>
      <c r="G43" s="32" t="n"/>
      <c r="H43" s="30" t="n"/>
    </row>
    <row r="44" ht="17" customHeight="1">
      <c r="A44" s="63" t="inlineStr">
        <is>
          <t>MİNİK A KIZLAR</t>
        </is>
      </c>
      <c r="B44" s="66" t="inlineStr">
        <is>
          <t>Grup 5</t>
        </is>
      </c>
      <c r="C44" s="65" t="n">
        <v>7</v>
      </c>
      <c r="D44" s="30" t="n"/>
      <c r="E44" s="30" t="n"/>
      <c r="F44" s="30" t="n"/>
      <c r="G44" s="32" t="n"/>
      <c r="H44" s="30" t="n"/>
    </row>
    <row r="45" ht="17" customHeight="1">
      <c r="A45" s="63" t="inlineStr">
        <is>
          <t>MİNİK A KIZLAR</t>
        </is>
      </c>
      <c r="B45" s="66" t="inlineStr">
        <is>
          <t>Grup 5</t>
        </is>
      </c>
      <c r="C45" s="65" t="n">
        <v>8</v>
      </c>
      <c r="D45" s="30" t="n"/>
      <c r="E45" s="30" t="n"/>
      <c r="F45" s="30" t="n"/>
      <c r="G45" s="32" t="n"/>
      <c r="H45" s="30" t="n"/>
    </row>
    <row r="46" ht="17" customHeight="1">
      <c r="A46" s="67" t="inlineStr">
        <is>
          <t>MİNİK A KIZLAR</t>
        </is>
      </c>
      <c r="B46" s="68" t="inlineStr">
        <is>
          <t>Grup 6</t>
        </is>
      </c>
      <c r="C46" s="69" t="n">
        <v>1</v>
      </c>
      <c r="D46" s="70" t="n"/>
      <c r="E46" s="70" t="n"/>
      <c r="F46" s="70" t="n"/>
      <c r="G46" s="71" t="n"/>
      <c r="H46" s="70" t="n"/>
    </row>
    <row r="47" ht="17" customHeight="1">
      <c r="A47" s="67" t="inlineStr">
        <is>
          <t>MİNİK A KIZLAR</t>
        </is>
      </c>
      <c r="B47" s="72" t="inlineStr">
        <is>
          <t>Grup 6</t>
        </is>
      </c>
      <c r="C47" s="69" t="n">
        <v>2</v>
      </c>
      <c r="D47" s="70" t="n"/>
      <c r="E47" s="70" t="n"/>
      <c r="F47" s="70" t="n"/>
      <c r="G47" s="71" t="n"/>
      <c r="H47" s="70" t="n"/>
    </row>
    <row r="48" ht="17" customHeight="1">
      <c r="A48" s="67" t="inlineStr">
        <is>
          <t>MİNİK A KIZLAR</t>
        </is>
      </c>
      <c r="B48" s="72" t="inlineStr">
        <is>
          <t>Grup 6</t>
        </is>
      </c>
      <c r="C48" s="69" t="n">
        <v>3</v>
      </c>
      <c r="D48" s="70" t="n"/>
      <c r="E48" s="70" t="n"/>
      <c r="F48" s="70" t="n"/>
      <c r="G48" s="71" t="n"/>
      <c r="H48" s="70" t="n"/>
    </row>
    <row r="49" ht="17" customHeight="1">
      <c r="A49" s="67" t="inlineStr">
        <is>
          <t>MİNİK A KIZLAR</t>
        </is>
      </c>
      <c r="B49" s="72" t="inlineStr">
        <is>
          <t>Grup 6</t>
        </is>
      </c>
      <c r="C49" s="69" t="n">
        <v>4</v>
      </c>
      <c r="D49" s="70" t="n"/>
      <c r="E49" s="70" t="n"/>
      <c r="F49" s="70" t="n"/>
      <c r="G49" s="71" t="n"/>
      <c r="H49" s="70" t="n"/>
    </row>
    <row r="50" ht="17" customHeight="1">
      <c r="A50" s="67" t="inlineStr">
        <is>
          <t>MİNİK A KIZLAR</t>
        </is>
      </c>
      <c r="B50" s="72" t="inlineStr">
        <is>
          <t>Grup 6</t>
        </is>
      </c>
      <c r="C50" s="69" t="n">
        <v>5</v>
      </c>
      <c r="D50" s="70" t="n"/>
      <c r="E50" s="70" t="n"/>
      <c r="F50" s="70" t="n"/>
      <c r="G50" s="71" t="n"/>
      <c r="H50" s="70" t="n"/>
    </row>
    <row r="51" ht="17" customHeight="1">
      <c r="A51" s="67" t="inlineStr">
        <is>
          <t>MİNİK A KIZLAR</t>
        </is>
      </c>
      <c r="B51" s="72" t="inlineStr">
        <is>
          <t>Grup 6</t>
        </is>
      </c>
      <c r="C51" s="69" t="n">
        <v>6</v>
      </c>
      <c r="D51" s="70" t="n"/>
      <c r="E51" s="70" t="n"/>
      <c r="F51" s="70" t="n"/>
      <c r="G51" s="71" t="n"/>
      <c r="H51" s="70" t="n"/>
    </row>
    <row r="52" ht="17" customHeight="1">
      <c r="A52" s="67" t="inlineStr">
        <is>
          <t>MİNİK A KIZLAR</t>
        </is>
      </c>
      <c r="B52" s="72" t="inlineStr">
        <is>
          <t>Grup 6</t>
        </is>
      </c>
      <c r="C52" s="69" t="n">
        <v>7</v>
      </c>
      <c r="D52" s="70" t="n"/>
      <c r="E52" s="70" t="n"/>
      <c r="F52" s="70" t="n"/>
      <c r="G52" s="71" t="n"/>
      <c r="H52" s="70" t="n"/>
    </row>
    <row r="53" ht="17" customHeight="1">
      <c r="A53" s="67" t="inlineStr">
        <is>
          <t>MİNİK A KIZLAR</t>
        </is>
      </c>
      <c r="B53" s="72" t="inlineStr">
        <is>
          <t>Grup 6</t>
        </is>
      </c>
      <c r="C53" s="69" t="n">
        <v>8</v>
      </c>
      <c r="D53" s="70" t="n"/>
      <c r="E53" s="70" t="n"/>
      <c r="F53" s="70" t="n"/>
      <c r="G53" s="71" t="n"/>
      <c r="H53" s="70" t="n"/>
    </row>
    <row r="54" ht="17" customHeight="1">
      <c r="A54" s="63" t="inlineStr">
        <is>
          <t>MİNİK A KIZLAR</t>
        </is>
      </c>
      <c r="B54" s="64" t="inlineStr">
        <is>
          <t>Grup 7</t>
        </is>
      </c>
      <c r="C54" s="65" t="n">
        <v>1</v>
      </c>
      <c r="D54" s="30" t="n"/>
      <c r="E54" s="30" t="n"/>
      <c r="F54" s="30" t="n"/>
      <c r="G54" s="32" t="n"/>
      <c r="H54" s="30" t="n"/>
    </row>
    <row r="55" ht="17" customHeight="1">
      <c r="A55" s="63" t="inlineStr">
        <is>
          <t>MİNİK A KIZLAR</t>
        </is>
      </c>
      <c r="B55" s="66" t="inlineStr">
        <is>
          <t>Grup 7</t>
        </is>
      </c>
      <c r="C55" s="65" t="n">
        <v>2</v>
      </c>
      <c r="D55" s="30" t="n"/>
      <c r="E55" s="30" t="n"/>
      <c r="F55" s="30" t="n"/>
      <c r="G55" s="32" t="n"/>
      <c r="H55" s="30" t="n"/>
    </row>
    <row r="56" ht="17" customHeight="1">
      <c r="A56" s="63" t="inlineStr">
        <is>
          <t>MİNİK A KIZLAR</t>
        </is>
      </c>
      <c r="B56" s="66" t="inlineStr">
        <is>
          <t>Grup 7</t>
        </is>
      </c>
      <c r="C56" s="65" t="n">
        <v>3</v>
      </c>
      <c r="D56" s="30" t="n"/>
      <c r="E56" s="30" t="n"/>
      <c r="F56" s="30" t="n"/>
      <c r="G56" s="32" t="n"/>
      <c r="H56" s="30" t="n"/>
    </row>
    <row r="57" ht="17" customHeight="1">
      <c r="A57" s="63" t="inlineStr">
        <is>
          <t>MİNİK A KIZLAR</t>
        </is>
      </c>
      <c r="B57" s="66" t="inlineStr">
        <is>
          <t>Grup 7</t>
        </is>
      </c>
      <c r="C57" s="65" t="n">
        <v>4</v>
      </c>
      <c r="D57" s="30" t="n"/>
      <c r="E57" s="30" t="n"/>
      <c r="F57" s="30" t="n"/>
      <c r="G57" s="32" t="n"/>
      <c r="H57" s="30" t="n"/>
    </row>
    <row r="58" ht="17" customHeight="1">
      <c r="A58" s="63" t="inlineStr">
        <is>
          <t>MİNİK A KIZLAR</t>
        </is>
      </c>
      <c r="B58" s="66" t="inlineStr">
        <is>
          <t>Grup 7</t>
        </is>
      </c>
      <c r="C58" s="65" t="n">
        <v>5</v>
      </c>
      <c r="D58" s="30" t="n"/>
      <c r="E58" s="30" t="n"/>
      <c r="F58" s="30" t="n"/>
      <c r="G58" s="32" t="n"/>
      <c r="H58" s="30" t="n"/>
    </row>
    <row r="59" ht="17" customHeight="1">
      <c r="A59" s="63" t="inlineStr">
        <is>
          <t>MİNİK A KIZLAR</t>
        </is>
      </c>
      <c r="B59" s="66" t="inlineStr">
        <is>
          <t>Grup 7</t>
        </is>
      </c>
      <c r="C59" s="65" t="n">
        <v>6</v>
      </c>
      <c r="D59" s="30" t="n"/>
      <c r="E59" s="30" t="n"/>
      <c r="F59" s="30" t="n"/>
      <c r="G59" s="32" t="n"/>
      <c r="H59" s="30" t="n"/>
    </row>
    <row r="60" ht="17" customHeight="1">
      <c r="A60" s="63" t="inlineStr">
        <is>
          <t>MİNİK A KIZLAR</t>
        </is>
      </c>
      <c r="B60" s="66" t="inlineStr">
        <is>
          <t>Grup 7</t>
        </is>
      </c>
      <c r="C60" s="65" t="n">
        <v>7</v>
      </c>
      <c r="D60" s="30" t="n"/>
      <c r="E60" s="30" t="n"/>
      <c r="F60" s="30" t="n"/>
      <c r="G60" s="32" t="n"/>
      <c r="H60" s="30" t="n"/>
    </row>
    <row r="61" ht="17" customHeight="1">
      <c r="A61" s="63" t="inlineStr">
        <is>
          <t>MİNİK A KIZLAR</t>
        </is>
      </c>
      <c r="B61" s="66" t="inlineStr">
        <is>
          <t>Grup 7</t>
        </is>
      </c>
      <c r="C61" s="65" t="n">
        <v>8</v>
      </c>
      <c r="D61" s="30" t="n"/>
      <c r="E61" s="30" t="n"/>
      <c r="F61" s="30" t="n"/>
      <c r="G61" s="32" t="n"/>
      <c r="H61" s="30" t="n"/>
    </row>
    <row r="62" ht="17" customHeight="1">
      <c r="A62" s="67" t="inlineStr">
        <is>
          <t>MİNİK A KIZLAR</t>
        </is>
      </c>
      <c r="B62" s="68" t="inlineStr">
        <is>
          <t>Grup 8</t>
        </is>
      </c>
      <c r="C62" s="69" t="n">
        <v>1</v>
      </c>
      <c r="D62" s="70" t="n"/>
      <c r="E62" s="70" t="n"/>
      <c r="F62" s="70" t="n"/>
      <c r="G62" s="71" t="n"/>
      <c r="H62" s="70" t="n"/>
    </row>
    <row r="63" ht="17" customHeight="1">
      <c r="A63" s="67" t="inlineStr">
        <is>
          <t>MİNİK A KIZLAR</t>
        </is>
      </c>
      <c r="B63" s="72" t="inlineStr">
        <is>
          <t>Grup 8</t>
        </is>
      </c>
      <c r="C63" s="69" t="n">
        <v>2</v>
      </c>
      <c r="D63" s="70" t="n"/>
      <c r="E63" s="70" t="n"/>
      <c r="F63" s="70" t="n"/>
      <c r="G63" s="71" t="n"/>
      <c r="H63" s="70" t="n"/>
    </row>
    <row r="64" ht="17" customHeight="1">
      <c r="A64" s="67" t="inlineStr">
        <is>
          <t>MİNİK A KIZLAR</t>
        </is>
      </c>
      <c r="B64" s="72" t="inlineStr">
        <is>
          <t>Grup 8</t>
        </is>
      </c>
      <c r="C64" s="69" t="n">
        <v>3</v>
      </c>
      <c r="D64" s="70" t="n"/>
      <c r="E64" s="70" t="n"/>
      <c r="F64" s="70" t="n"/>
      <c r="G64" s="71" t="n"/>
      <c r="H64" s="70" t="n"/>
    </row>
    <row r="65" ht="17" customHeight="1">
      <c r="A65" s="67" t="inlineStr">
        <is>
          <t>MİNİK A KIZLAR</t>
        </is>
      </c>
      <c r="B65" s="72" t="inlineStr">
        <is>
          <t>Grup 8</t>
        </is>
      </c>
      <c r="C65" s="69" t="n">
        <v>4</v>
      </c>
      <c r="D65" s="70" t="n"/>
      <c r="E65" s="70" t="n"/>
      <c r="F65" s="70" t="n"/>
      <c r="G65" s="71" t="n"/>
      <c r="H65" s="70" t="n"/>
    </row>
    <row r="66" ht="17" customHeight="1">
      <c r="A66" s="67" t="inlineStr">
        <is>
          <t>MİNİK A KIZLAR</t>
        </is>
      </c>
      <c r="B66" s="72" t="inlineStr">
        <is>
          <t>Grup 8</t>
        </is>
      </c>
      <c r="C66" s="69" t="n">
        <v>5</v>
      </c>
      <c r="D66" s="70" t="n"/>
      <c r="E66" s="70" t="n"/>
      <c r="F66" s="70" t="n"/>
      <c r="G66" s="71" t="n"/>
      <c r="H66" s="70" t="n"/>
    </row>
    <row r="67" ht="17" customHeight="1">
      <c r="A67" s="67" t="inlineStr">
        <is>
          <t>MİNİK A KIZLAR</t>
        </is>
      </c>
      <c r="B67" s="72" t="inlineStr">
        <is>
          <t>Grup 8</t>
        </is>
      </c>
      <c r="C67" s="69" t="n">
        <v>6</v>
      </c>
      <c r="D67" s="70" t="n"/>
      <c r="E67" s="70" t="n"/>
      <c r="F67" s="70" t="n"/>
      <c r="G67" s="71" t="n"/>
      <c r="H67" s="70" t="n"/>
    </row>
    <row r="68" ht="17" customHeight="1">
      <c r="A68" s="67" t="inlineStr">
        <is>
          <t>MİNİK A KIZLAR</t>
        </is>
      </c>
      <c r="B68" s="72" t="inlineStr">
        <is>
          <t>Grup 8</t>
        </is>
      </c>
      <c r="C68" s="69" t="n">
        <v>7</v>
      </c>
      <c r="D68" s="70" t="n"/>
      <c r="E68" s="70" t="n"/>
      <c r="F68" s="70" t="n"/>
      <c r="G68" s="71" t="n"/>
      <c r="H68" s="70" t="n"/>
    </row>
    <row r="69" ht="17" customHeight="1">
      <c r="A69" s="67" t="inlineStr">
        <is>
          <t>MİNİK A KIZLAR</t>
        </is>
      </c>
      <c r="B69" s="72" t="inlineStr">
        <is>
          <t>Grup 8</t>
        </is>
      </c>
      <c r="C69" s="69" t="n">
        <v>8</v>
      </c>
      <c r="D69" s="70" t="n"/>
      <c r="E69" s="70" t="n"/>
      <c r="F69" s="70" t="n"/>
      <c r="G69" s="71" t="n"/>
      <c r="H69" s="70" t="n"/>
    </row>
    <row r="72" ht="22" customHeight="1">
      <c r="A72" s="54" t="inlineStr">
        <is>
          <t>MİNİK A ERKEKLER</t>
        </is>
      </c>
    </row>
    <row r="73" ht="20" customHeight="1">
      <c r="A73" s="62" t="inlineStr">
        <is>
          <t>KATEGORİ</t>
        </is>
      </c>
      <c r="B73" s="62" t="inlineStr">
        <is>
          <t>GRUP</t>
        </is>
      </c>
      <c r="C73" s="62" t="inlineStr">
        <is>
          <t>SIRA</t>
        </is>
      </c>
      <c r="D73" s="62" t="inlineStr">
        <is>
          <t>AD</t>
        </is>
      </c>
      <c r="E73" s="62" t="inlineStr">
        <is>
          <t>SOYAD</t>
        </is>
      </c>
      <c r="F73" s="62" t="inlineStr">
        <is>
          <t>OKUL / KULÜP</t>
        </is>
      </c>
      <c r="G73" s="62" t="inlineStr">
        <is>
          <t>TÜR</t>
        </is>
      </c>
      <c r="H73" s="62" t="inlineStr">
        <is>
          <t>ANTRENÖR / ÖĞR.</t>
        </is>
      </c>
    </row>
    <row r="74" ht="17" customHeight="1">
      <c r="A74" s="63" t="inlineStr">
        <is>
          <t>MİNİK A ERKEKLER</t>
        </is>
      </c>
      <c r="B74" s="64" t="inlineStr">
        <is>
          <t>Grup 1</t>
        </is>
      </c>
      <c r="C74" s="65" t="n">
        <v>1</v>
      </c>
      <c r="D74" s="30" t="n"/>
      <c r="E74" s="30" t="n"/>
      <c r="F74" s="30" t="n"/>
      <c r="G74" s="32" t="n"/>
      <c r="H74" s="30" t="n"/>
    </row>
    <row r="75" ht="17" customHeight="1">
      <c r="A75" s="63" t="inlineStr">
        <is>
          <t>MİNİK A ERKEKLER</t>
        </is>
      </c>
      <c r="B75" s="66" t="inlineStr">
        <is>
          <t>Grup 1</t>
        </is>
      </c>
      <c r="C75" s="65" t="n">
        <v>2</v>
      </c>
      <c r="D75" s="30" t="n"/>
      <c r="E75" s="30" t="n"/>
      <c r="F75" s="30" t="n"/>
      <c r="G75" s="32" t="n"/>
      <c r="H75" s="30" t="n"/>
    </row>
    <row r="76" ht="17" customHeight="1">
      <c r="A76" s="63" t="inlineStr">
        <is>
          <t>MİNİK A ERKEKLER</t>
        </is>
      </c>
      <c r="B76" s="66" t="inlineStr">
        <is>
          <t>Grup 1</t>
        </is>
      </c>
      <c r="C76" s="65" t="n">
        <v>3</v>
      </c>
      <c r="D76" s="30" t="n"/>
      <c r="E76" s="30" t="n"/>
      <c r="F76" s="30" t="n"/>
      <c r="G76" s="32" t="n"/>
      <c r="H76" s="30" t="n"/>
    </row>
    <row r="77" ht="17" customHeight="1">
      <c r="A77" s="63" t="inlineStr">
        <is>
          <t>MİNİK A ERKEKLER</t>
        </is>
      </c>
      <c r="B77" s="66" t="inlineStr">
        <is>
          <t>Grup 1</t>
        </is>
      </c>
      <c r="C77" s="65" t="n">
        <v>4</v>
      </c>
      <c r="D77" s="30" t="n"/>
      <c r="E77" s="30" t="n"/>
      <c r="F77" s="30" t="n"/>
      <c r="G77" s="32" t="n"/>
      <c r="H77" s="30" t="n"/>
    </row>
    <row r="78" ht="17" customHeight="1">
      <c r="A78" s="63" t="inlineStr">
        <is>
          <t>MİNİK A ERKEKLER</t>
        </is>
      </c>
      <c r="B78" s="66" t="inlineStr">
        <is>
          <t>Grup 1</t>
        </is>
      </c>
      <c r="C78" s="65" t="n">
        <v>5</v>
      </c>
      <c r="D78" s="30" t="n"/>
      <c r="E78" s="30" t="n"/>
      <c r="F78" s="30" t="n"/>
      <c r="G78" s="32" t="n"/>
      <c r="H78" s="30" t="n"/>
    </row>
    <row r="79" ht="17" customHeight="1">
      <c r="A79" s="63" t="inlineStr">
        <is>
          <t>MİNİK A ERKEKLER</t>
        </is>
      </c>
      <c r="B79" s="66" t="inlineStr">
        <is>
          <t>Grup 1</t>
        </is>
      </c>
      <c r="C79" s="65" t="n">
        <v>6</v>
      </c>
      <c r="D79" s="30" t="n"/>
      <c r="E79" s="30" t="n"/>
      <c r="F79" s="30" t="n"/>
      <c r="G79" s="32" t="n"/>
      <c r="H79" s="30" t="n"/>
    </row>
    <row r="80" ht="17" customHeight="1">
      <c r="A80" s="63" t="inlineStr">
        <is>
          <t>MİNİK A ERKEKLER</t>
        </is>
      </c>
      <c r="B80" s="66" t="inlineStr">
        <is>
          <t>Grup 1</t>
        </is>
      </c>
      <c r="C80" s="65" t="n">
        <v>7</v>
      </c>
      <c r="D80" s="30" t="n"/>
      <c r="E80" s="30" t="n"/>
      <c r="F80" s="30" t="n"/>
      <c r="G80" s="32" t="n"/>
      <c r="H80" s="30" t="n"/>
    </row>
    <row r="81" ht="17" customHeight="1">
      <c r="A81" s="63" t="inlineStr">
        <is>
          <t>MİNİK A ERKEKLER</t>
        </is>
      </c>
      <c r="B81" s="66" t="inlineStr">
        <is>
          <t>Grup 1</t>
        </is>
      </c>
      <c r="C81" s="65" t="n">
        <v>8</v>
      </c>
      <c r="D81" s="30" t="n"/>
      <c r="E81" s="30" t="n"/>
      <c r="F81" s="30" t="n"/>
      <c r="G81" s="32" t="n"/>
      <c r="H81" s="30" t="n"/>
    </row>
    <row r="82" ht="17" customHeight="1">
      <c r="A82" s="73" t="inlineStr">
        <is>
          <t>MİNİK A ERKEKLER</t>
        </is>
      </c>
      <c r="B82" s="74" t="inlineStr">
        <is>
          <t>Grup 2</t>
        </is>
      </c>
      <c r="C82" s="75" t="n">
        <v>1</v>
      </c>
      <c r="D82" s="76" t="n"/>
      <c r="E82" s="76" t="n"/>
      <c r="F82" s="76" t="n"/>
      <c r="G82" s="77" t="n"/>
      <c r="H82" s="76" t="n"/>
    </row>
    <row r="83" ht="17" customHeight="1">
      <c r="A83" s="73" t="inlineStr">
        <is>
          <t>MİNİK A ERKEKLER</t>
        </is>
      </c>
      <c r="B83" s="78" t="inlineStr">
        <is>
          <t>Grup 2</t>
        </is>
      </c>
      <c r="C83" s="75" t="n">
        <v>2</v>
      </c>
      <c r="D83" s="76" t="n"/>
      <c r="E83" s="76" t="n"/>
      <c r="F83" s="76" t="n"/>
      <c r="G83" s="77" t="n"/>
      <c r="H83" s="76" t="n"/>
    </row>
    <row r="84" ht="17" customHeight="1">
      <c r="A84" s="73" t="inlineStr">
        <is>
          <t>MİNİK A ERKEKLER</t>
        </is>
      </c>
      <c r="B84" s="78" t="inlineStr">
        <is>
          <t>Grup 2</t>
        </is>
      </c>
      <c r="C84" s="75" t="n">
        <v>3</v>
      </c>
      <c r="D84" s="76" t="n"/>
      <c r="E84" s="76" t="n"/>
      <c r="F84" s="76" t="n"/>
      <c r="G84" s="77" t="n"/>
      <c r="H84" s="76" t="n"/>
    </row>
    <row r="85" ht="17" customHeight="1">
      <c r="A85" s="73" t="inlineStr">
        <is>
          <t>MİNİK A ERKEKLER</t>
        </is>
      </c>
      <c r="B85" s="78" t="inlineStr">
        <is>
          <t>Grup 2</t>
        </is>
      </c>
      <c r="C85" s="75" t="n">
        <v>4</v>
      </c>
      <c r="D85" s="76" t="n"/>
      <c r="E85" s="76" t="n"/>
      <c r="F85" s="76" t="n"/>
      <c r="G85" s="77" t="n"/>
      <c r="H85" s="76" t="n"/>
    </row>
    <row r="86" ht="17" customHeight="1">
      <c r="A86" s="73" t="inlineStr">
        <is>
          <t>MİNİK A ERKEKLER</t>
        </is>
      </c>
      <c r="B86" s="78" t="inlineStr">
        <is>
          <t>Grup 2</t>
        </is>
      </c>
      <c r="C86" s="75" t="n">
        <v>5</v>
      </c>
      <c r="D86" s="76" t="n"/>
      <c r="E86" s="76" t="n"/>
      <c r="F86" s="76" t="n"/>
      <c r="G86" s="77" t="n"/>
      <c r="H86" s="76" t="n"/>
    </row>
    <row r="87" ht="17" customHeight="1">
      <c r="A87" s="73" t="inlineStr">
        <is>
          <t>MİNİK A ERKEKLER</t>
        </is>
      </c>
      <c r="B87" s="78" t="inlineStr">
        <is>
          <t>Grup 2</t>
        </is>
      </c>
      <c r="C87" s="75" t="n">
        <v>6</v>
      </c>
      <c r="D87" s="76" t="n"/>
      <c r="E87" s="76" t="n"/>
      <c r="F87" s="76" t="n"/>
      <c r="G87" s="77" t="n"/>
      <c r="H87" s="76" t="n"/>
    </row>
    <row r="88" ht="17" customHeight="1">
      <c r="A88" s="73" t="inlineStr">
        <is>
          <t>MİNİK A ERKEKLER</t>
        </is>
      </c>
      <c r="B88" s="78" t="inlineStr">
        <is>
          <t>Grup 2</t>
        </is>
      </c>
      <c r="C88" s="75" t="n">
        <v>7</v>
      </c>
      <c r="D88" s="76" t="n"/>
      <c r="E88" s="76" t="n"/>
      <c r="F88" s="76" t="n"/>
      <c r="G88" s="77" t="n"/>
      <c r="H88" s="76" t="n"/>
    </row>
    <row r="89" ht="17" customHeight="1">
      <c r="A89" s="73" t="inlineStr">
        <is>
          <t>MİNİK A ERKEKLER</t>
        </is>
      </c>
      <c r="B89" s="78" t="inlineStr">
        <is>
          <t>Grup 2</t>
        </is>
      </c>
      <c r="C89" s="75" t="n">
        <v>8</v>
      </c>
      <c r="D89" s="76" t="n"/>
      <c r="E89" s="76" t="n"/>
      <c r="F89" s="76" t="n"/>
      <c r="G89" s="77" t="n"/>
      <c r="H89" s="76" t="n"/>
    </row>
    <row r="90" ht="17" customHeight="1">
      <c r="A90" s="63" t="inlineStr">
        <is>
          <t>MİNİK A ERKEKLER</t>
        </is>
      </c>
      <c r="B90" s="64" t="inlineStr">
        <is>
          <t>Grup 3</t>
        </is>
      </c>
      <c r="C90" s="65" t="n">
        <v>1</v>
      </c>
      <c r="D90" s="30" t="n"/>
      <c r="E90" s="30" t="n"/>
      <c r="F90" s="30" t="n"/>
      <c r="G90" s="32" t="n"/>
      <c r="H90" s="30" t="n"/>
    </row>
    <row r="91" ht="17" customHeight="1">
      <c r="A91" s="63" t="inlineStr">
        <is>
          <t>MİNİK A ERKEKLER</t>
        </is>
      </c>
      <c r="B91" s="66" t="inlineStr">
        <is>
          <t>Grup 3</t>
        </is>
      </c>
      <c r="C91" s="65" t="n">
        <v>2</v>
      </c>
      <c r="D91" s="30" t="n"/>
      <c r="E91" s="30" t="n"/>
      <c r="F91" s="30" t="n"/>
      <c r="G91" s="32" t="n"/>
      <c r="H91" s="30" t="n"/>
    </row>
    <row r="92" ht="17" customHeight="1">
      <c r="A92" s="63" t="inlineStr">
        <is>
          <t>MİNİK A ERKEKLER</t>
        </is>
      </c>
      <c r="B92" s="66" t="inlineStr">
        <is>
          <t>Grup 3</t>
        </is>
      </c>
      <c r="C92" s="65" t="n">
        <v>3</v>
      </c>
      <c r="D92" s="30" t="n"/>
      <c r="E92" s="30" t="n"/>
      <c r="F92" s="30" t="n"/>
      <c r="G92" s="32" t="n"/>
      <c r="H92" s="30" t="n"/>
    </row>
    <row r="93" ht="17" customHeight="1">
      <c r="A93" s="63" t="inlineStr">
        <is>
          <t>MİNİK A ERKEKLER</t>
        </is>
      </c>
      <c r="B93" s="66" t="inlineStr">
        <is>
          <t>Grup 3</t>
        </is>
      </c>
      <c r="C93" s="65" t="n">
        <v>4</v>
      </c>
      <c r="D93" s="30" t="n"/>
      <c r="E93" s="30" t="n"/>
      <c r="F93" s="30" t="n"/>
      <c r="G93" s="32" t="n"/>
      <c r="H93" s="30" t="n"/>
    </row>
    <row r="94" ht="17" customHeight="1">
      <c r="A94" s="63" t="inlineStr">
        <is>
          <t>MİNİK A ERKEKLER</t>
        </is>
      </c>
      <c r="B94" s="66" t="inlineStr">
        <is>
          <t>Grup 3</t>
        </is>
      </c>
      <c r="C94" s="65" t="n">
        <v>5</v>
      </c>
      <c r="D94" s="30" t="n"/>
      <c r="E94" s="30" t="n"/>
      <c r="F94" s="30" t="n"/>
      <c r="G94" s="32" t="n"/>
      <c r="H94" s="30" t="n"/>
    </row>
    <row r="95" ht="17" customHeight="1">
      <c r="A95" s="63" t="inlineStr">
        <is>
          <t>MİNİK A ERKEKLER</t>
        </is>
      </c>
      <c r="B95" s="66" t="inlineStr">
        <is>
          <t>Grup 3</t>
        </is>
      </c>
      <c r="C95" s="65" t="n">
        <v>6</v>
      </c>
      <c r="D95" s="30" t="n"/>
      <c r="E95" s="30" t="n"/>
      <c r="F95" s="30" t="n"/>
      <c r="G95" s="32" t="n"/>
      <c r="H95" s="30" t="n"/>
    </row>
    <row r="96" ht="17" customHeight="1">
      <c r="A96" s="63" t="inlineStr">
        <is>
          <t>MİNİK A ERKEKLER</t>
        </is>
      </c>
      <c r="B96" s="66" t="inlineStr">
        <is>
          <t>Grup 3</t>
        </is>
      </c>
      <c r="C96" s="65" t="n">
        <v>7</v>
      </c>
      <c r="D96" s="30" t="n"/>
      <c r="E96" s="30" t="n"/>
      <c r="F96" s="30" t="n"/>
      <c r="G96" s="32" t="n"/>
      <c r="H96" s="30" t="n"/>
    </row>
    <row r="97" ht="17" customHeight="1">
      <c r="A97" s="63" t="inlineStr">
        <is>
          <t>MİNİK A ERKEKLER</t>
        </is>
      </c>
      <c r="B97" s="66" t="inlineStr">
        <is>
          <t>Grup 3</t>
        </is>
      </c>
      <c r="C97" s="65" t="n">
        <v>8</v>
      </c>
      <c r="D97" s="30" t="n"/>
      <c r="E97" s="30" t="n"/>
      <c r="F97" s="30" t="n"/>
      <c r="G97" s="32" t="n"/>
      <c r="H97" s="30" t="n"/>
    </row>
    <row r="98" ht="17" customHeight="1">
      <c r="A98" s="73" t="inlineStr">
        <is>
          <t>MİNİK A ERKEKLER</t>
        </is>
      </c>
      <c r="B98" s="74" t="inlineStr">
        <is>
          <t>Grup 4</t>
        </is>
      </c>
      <c r="C98" s="75" t="n">
        <v>1</v>
      </c>
      <c r="D98" s="76" t="n"/>
      <c r="E98" s="76" t="n"/>
      <c r="F98" s="76" t="n"/>
      <c r="G98" s="77" t="n"/>
      <c r="H98" s="76" t="n"/>
    </row>
    <row r="99" ht="17" customHeight="1">
      <c r="A99" s="73" t="inlineStr">
        <is>
          <t>MİNİK A ERKEKLER</t>
        </is>
      </c>
      <c r="B99" s="78" t="inlineStr">
        <is>
          <t>Grup 4</t>
        </is>
      </c>
      <c r="C99" s="75" t="n">
        <v>2</v>
      </c>
      <c r="D99" s="76" t="n"/>
      <c r="E99" s="76" t="n"/>
      <c r="F99" s="76" t="n"/>
      <c r="G99" s="77" t="n"/>
      <c r="H99" s="76" t="n"/>
    </row>
    <row r="100" ht="17" customHeight="1">
      <c r="A100" s="73" t="inlineStr">
        <is>
          <t>MİNİK A ERKEKLER</t>
        </is>
      </c>
      <c r="B100" s="78" t="inlineStr">
        <is>
          <t>Grup 4</t>
        </is>
      </c>
      <c r="C100" s="75" t="n">
        <v>3</v>
      </c>
      <c r="D100" s="76" t="n"/>
      <c r="E100" s="76" t="n"/>
      <c r="F100" s="76" t="n"/>
      <c r="G100" s="77" t="n"/>
      <c r="H100" s="76" t="n"/>
    </row>
    <row r="101" ht="17" customHeight="1">
      <c r="A101" s="73" t="inlineStr">
        <is>
          <t>MİNİK A ERKEKLER</t>
        </is>
      </c>
      <c r="B101" s="78" t="inlineStr">
        <is>
          <t>Grup 4</t>
        </is>
      </c>
      <c r="C101" s="75" t="n">
        <v>4</v>
      </c>
      <c r="D101" s="76" t="n"/>
      <c r="E101" s="76" t="n"/>
      <c r="F101" s="76" t="n"/>
      <c r="G101" s="77" t="n"/>
      <c r="H101" s="76" t="n"/>
    </row>
    <row r="102" ht="17" customHeight="1">
      <c r="A102" s="73" t="inlineStr">
        <is>
          <t>MİNİK A ERKEKLER</t>
        </is>
      </c>
      <c r="B102" s="78" t="inlineStr">
        <is>
          <t>Grup 4</t>
        </is>
      </c>
      <c r="C102" s="75" t="n">
        <v>5</v>
      </c>
      <c r="D102" s="76" t="n"/>
      <c r="E102" s="76" t="n"/>
      <c r="F102" s="76" t="n"/>
      <c r="G102" s="77" t="n"/>
      <c r="H102" s="76" t="n"/>
    </row>
    <row r="103" ht="17" customHeight="1">
      <c r="A103" s="73" t="inlineStr">
        <is>
          <t>MİNİK A ERKEKLER</t>
        </is>
      </c>
      <c r="B103" s="78" t="inlineStr">
        <is>
          <t>Grup 4</t>
        </is>
      </c>
      <c r="C103" s="75" t="n">
        <v>6</v>
      </c>
      <c r="D103" s="76" t="n"/>
      <c r="E103" s="76" t="n"/>
      <c r="F103" s="76" t="n"/>
      <c r="G103" s="77" t="n"/>
      <c r="H103" s="76" t="n"/>
    </row>
    <row r="104" ht="17" customHeight="1">
      <c r="A104" s="73" t="inlineStr">
        <is>
          <t>MİNİK A ERKEKLER</t>
        </is>
      </c>
      <c r="B104" s="78" t="inlineStr">
        <is>
          <t>Grup 4</t>
        </is>
      </c>
      <c r="C104" s="75" t="n">
        <v>7</v>
      </c>
      <c r="D104" s="76" t="n"/>
      <c r="E104" s="76" t="n"/>
      <c r="F104" s="76" t="n"/>
      <c r="G104" s="77" t="n"/>
      <c r="H104" s="76" t="n"/>
    </row>
    <row r="105" ht="17" customHeight="1">
      <c r="A105" s="73" t="inlineStr">
        <is>
          <t>MİNİK A ERKEKLER</t>
        </is>
      </c>
      <c r="B105" s="78" t="inlineStr">
        <is>
          <t>Grup 4</t>
        </is>
      </c>
      <c r="C105" s="75" t="n">
        <v>8</v>
      </c>
      <c r="D105" s="76" t="n"/>
      <c r="E105" s="76" t="n"/>
      <c r="F105" s="76" t="n"/>
      <c r="G105" s="77" t="n"/>
      <c r="H105" s="76" t="n"/>
    </row>
    <row r="106" ht="17" customHeight="1">
      <c r="A106" s="63" t="inlineStr">
        <is>
          <t>MİNİK A ERKEKLER</t>
        </is>
      </c>
      <c r="B106" s="64" t="inlineStr">
        <is>
          <t>Grup 5</t>
        </is>
      </c>
      <c r="C106" s="65" t="n">
        <v>1</v>
      </c>
      <c r="D106" s="30" t="n"/>
      <c r="E106" s="30" t="n"/>
      <c r="F106" s="30" t="n"/>
      <c r="G106" s="32" t="n"/>
      <c r="H106" s="30" t="n"/>
    </row>
    <row r="107" ht="17" customHeight="1">
      <c r="A107" s="63" t="inlineStr">
        <is>
          <t>MİNİK A ERKEKLER</t>
        </is>
      </c>
      <c r="B107" s="66" t="inlineStr">
        <is>
          <t>Grup 5</t>
        </is>
      </c>
      <c r="C107" s="65" t="n">
        <v>2</v>
      </c>
      <c r="D107" s="30" t="n"/>
      <c r="E107" s="30" t="n"/>
      <c r="F107" s="30" t="n"/>
      <c r="G107" s="32" t="n"/>
      <c r="H107" s="30" t="n"/>
    </row>
    <row r="108" ht="17" customHeight="1">
      <c r="A108" s="63" t="inlineStr">
        <is>
          <t>MİNİK A ERKEKLER</t>
        </is>
      </c>
      <c r="B108" s="66" t="inlineStr">
        <is>
          <t>Grup 5</t>
        </is>
      </c>
      <c r="C108" s="65" t="n">
        <v>3</v>
      </c>
      <c r="D108" s="30" t="n"/>
      <c r="E108" s="30" t="n"/>
      <c r="F108" s="30" t="n"/>
      <c r="G108" s="32" t="n"/>
      <c r="H108" s="30" t="n"/>
    </row>
    <row r="109" ht="17" customHeight="1">
      <c r="A109" s="63" t="inlineStr">
        <is>
          <t>MİNİK A ERKEKLER</t>
        </is>
      </c>
      <c r="B109" s="66" t="inlineStr">
        <is>
          <t>Grup 5</t>
        </is>
      </c>
      <c r="C109" s="65" t="n">
        <v>4</v>
      </c>
      <c r="D109" s="30" t="n"/>
      <c r="E109" s="30" t="n"/>
      <c r="F109" s="30" t="n"/>
      <c r="G109" s="32" t="n"/>
      <c r="H109" s="30" t="n"/>
    </row>
    <row r="110" ht="17" customHeight="1">
      <c r="A110" s="63" t="inlineStr">
        <is>
          <t>MİNİK A ERKEKLER</t>
        </is>
      </c>
      <c r="B110" s="66" t="inlineStr">
        <is>
          <t>Grup 5</t>
        </is>
      </c>
      <c r="C110" s="65" t="n">
        <v>5</v>
      </c>
      <c r="D110" s="30" t="n"/>
      <c r="E110" s="30" t="n"/>
      <c r="F110" s="30" t="n"/>
      <c r="G110" s="32" t="n"/>
      <c r="H110" s="30" t="n"/>
    </row>
    <row r="111" ht="17" customHeight="1">
      <c r="A111" s="63" t="inlineStr">
        <is>
          <t>MİNİK A ERKEKLER</t>
        </is>
      </c>
      <c r="B111" s="66" t="inlineStr">
        <is>
          <t>Grup 5</t>
        </is>
      </c>
      <c r="C111" s="65" t="n">
        <v>6</v>
      </c>
      <c r="D111" s="30" t="n"/>
      <c r="E111" s="30" t="n"/>
      <c r="F111" s="30" t="n"/>
      <c r="G111" s="32" t="n"/>
      <c r="H111" s="30" t="n"/>
    </row>
    <row r="112" ht="17" customHeight="1">
      <c r="A112" s="63" t="inlineStr">
        <is>
          <t>MİNİK A ERKEKLER</t>
        </is>
      </c>
      <c r="B112" s="66" t="inlineStr">
        <is>
          <t>Grup 5</t>
        </is>
      </c>
      <c r="C112" s="65" t="n">
        <v>7</v>
      </c>
      <c r="D112" s="30" t="n"/>
      <c r="E112" s="30" t="n"/>
      <c r="F112" s="30" t="n"/>
      <c r="G112" s="32" t="n"/>
      <c r="H112" s="30" t="n"/>
    </row>
    <row r="113" ht="17" customHeight="1">
      <c r="A113" s="63" t="inlineStr">
        <is>
          <t>MİNİK A ERKEKLER</t>
        </is>
      </c>
      <c r="B113" s="66" t="inlineStr">
        <is>
          <t>Grup 5</t>
        </is>
      </c>
      <c r="C113" s="65" t="n">
        <v>8</v>
      </c>
      <c r="D113" s="30" t="n"/>
      <c r="E113" s="30" t="n"/>
      <c r="F113" s="30" t="n"/>
      <c r="G113" s="32" t="n"/>
      <c r="H113" s="30" t="n"/>
    </row>
    <row r="114" ht="17" customHeight="1">
      <c r="A114" s="73" t="inlineStr">
        <is>
          <t>MİNİK A ERKEKLER</t>
        </is>
      </c>
      <c r="B114" s="74" t="inlineStr">
        <is>
          <t>Grup 6</t>
        </is>
      </c>
      <c r="C114" s="75" t="n">
        <v>1</v>
      </c>
      <c r="D114" s="76" t="n"/>
      <c r="E114" s="76" t="n"/>
      <c r="F114" s="76" t="n"/>
      <c r="G114" s="77" t="n"/>
      <c r="H114" s="76" t="n"/>
    </row>
    <row r="115" ht="17" customHeight="1">
      <c r="A115" s="73" t="inlineStr">
        <is>
          <t>MİNİK A ERKEKLER</t>
        </is>
      </c>
      <c r="B115" s="78" t="inlineStr">
        <is>
          <t>Grup 6</t>
        </is>
      </c>
      <c r="C115" s="75" t="n">
        <v>2</v>
      </c>
      <c r="D115" s="76" t="n"/>
      <c r="E115" s="76" t="n"/>
      <c r="F115" s="76" t="n"/>
      <c r="G115" s="77" t="n"/>
      <c r="H115" s="76" t="n"/>
    </row>
    <row r="116" ht="17" customHeight="1">
      <c r="A116" s="73" t="inlineStr">
        <is>
          <t>MİNİK A ERKEKLER</t>
        </is>
      </c>
      <c r="B116" s="78" t="inlineStr">
        <is>
          <t>Grup 6</t>
        </is>
      </c>
      <c r="C116" s="75" t="n">
        <v>3</v>
      </c>
      <c r="D116" s="76" t="n"/>
      <c r="E116" s="76" t="n"/>
      <c r="F116" s="76" t="n"/>
      <c r="G116" s="77" t="n"/>
      <c r="H116" s="76" t="n"/>
    </row>
    <row r="117" ht="17" customHeight="1">
      <c r="A117" s="73" t="inlineStr">
        <is>
          <t>MİNİK A ERKEKLER</t>
        </is>
      </c>
      <c r="B117" s="78" t="inlineStr">
        <is>
          <t>Grup 6</t>
        </is>
      </c>
      <c r="C117" s="75" t="n">
        <v>4</v>
      </c>
      <c r="D117" s="76" t="n"/>
      <c r="E117" s="76" t="n"/>
      <c r="F117" s="76" t="n"/>
      <c r="G117" s="77" t="n"/>
      <c r="H117" s="76" t="n"/>
    </row>
    <row r="118" ht="17" customHeight="1">
      <c r="A118" s="73" t="inlineStr">
        <is>
          <t>MİNİK A ERKEKLER</t>
        </is>
      </c>
      <c r="B118" s="78" t="inlineStr">
        <is>
          <t>Grup 6</t>
        </is>
      </c>
      <c r="C118" s="75" t="n">
        <v>5</v>
      </c>
      <c r="D118" s="76" t="n"/>
      <c r="E118" s="76" t="n"/>
      <c r="F118" s="76" t="n"/>
      <c r="G118" s="77" t="n"/>
      <c r="H118" s="76" t="n"/>
    </row>
    <row r="119" ht="17" customHeight="1">
      <c r="A119" s="73" t="inlineStr">
        <is>
          <t>MİNİK A ERKEKLER</t>
        </is>
      </c>
      <c r="B119" s="78" t="inlineStr">
        <is>
          <t>Grup 6</t>
        </is>
      </c>
      <c r="C119" s="75" t="n">
        <v>6</v>
      </c>
      <c r="D119" s="76" t="n"/>
      <c r="E119" s="76" t="n"/>
      <c r="F119" s="76" t="n"/>
      <c r="G119" s="77" t="n"/>
      <c r="H119" s="76" t="n"/>
    </row>
    <row r="120" ht="17" customHeight="1">
      <c r="A120" s="73" t="inlineStr">
        <is>
          <t>MİNİK A ERKEKLER</t>
        </is>
      </c>
      <c r="B120" s="78" t="inlineStr">
        <is>
          <t>Grup 6</t>
        </is>
      </c>
      <c r="C120" s="75" t="n">
        <v>7</v>
      </c>
      <c r="D120" s="76" t="n"/>
      <c r="E120" s="76" t="n"/>
      <c r="F120" s="76" t="n"/>
      <c r="G120" s="77" t="n"/>
      <c r="H120" s="76" t="n"/>
    </row>
    <row r="121" ht="17" customHeight="1">
      <c r="A121" s="73" t="inlineStr">
        <is>
          <t>MİNİK A ERKEKLER</t>
        </is>
      </c>
      <c r="B121" s="78" t="inlineStr">
        <is>
          <t>Grup 6</t>
        </is>
      </c>
      <c r="C121" s="75" t="n">
        <v>8</v>
      </c>
      <c r="D121" s="76" t="n"/>
      <c r="E121" s="76" t="n"/>
      <c r="F121" s="76" t="n"/>
      <c r="G121" s="77" t="n"/>
      <c r="H121" s="76" t="n"/>
    </row>
    <row r="122" ht="17" customHeight="1">
      <c r="A122" s="63" t="inlineStr">
        <is>
          <t>MİNİK A ERKEKLER</t>
        </is>
      </c>
      <c r="B122" s="64" t="inlineStr">
        <is>
          <t>Grup 7</t>
        </is>
      </c>
      <c r="C122" s="65" t="n">
        <v>1</v>
      </c>
      <c r="D122" s="30" t="n"/>
      <c r="E122" s="30" t="n"/>
      <c r="F122" s="30" t="n"/>
      <c r="G122" s="32" t="n"/>
      <c r="H122" s="30" t="n"/>
    </row>
    <row r="123" ht="17" customHeight="1">
      <c r="A123" s="63" t="inlineStr">
        <is>
          <t>MİNİK A ERKEKLER</t>
        </is>
      </c>
      <c r="B123" s="66" t="inlineStr">
        <is>
          <t>Grup 7</t>
        </is>
      </c>
      <c r="C123" s="65" t="n">
        <v>2</v>
      </c>
      <c r="D123" s="30" t="n"/>
      <c r="E123" s="30" t="n"/>
      <c r="F123" s="30" t="n"/>
      <c r="G123" s="32" t="n"/>
      <c r="H123" s="30" t="n"/>
    </row>
    <row r="124" ht="17" customHeight="1">
      <c r="A124" s="63" t="inlineStr">
        <is>
          <t>MİNİK A ERKEKLER</t>
        </is>
      </c>
      <c r="B124" s="66" t="inlineStr">
        <is>
          <t>Grup 7</t>
        </is>
      </c>
      <c r="C124" s="65" t="n">
        <v>3</v>
      </c>
      <c r="D124" s="30" t="n"/>
      <c r="E124" s="30" t="n"/>
      <c r="F124" s="30" t="n"/>
      <c r="G124" s="32" t="n"/>
      <c r="H124" s="30" t="n"/>
    </row>
    <row r="125" ht="17" customHeight="1">
      <c r="A125" s="63" t="inlineStr">
        <is>
          <t>MİNİK A ERKEKLER</t>
        </is>
      </c>
      <c r="B125" s="66" t="inlineStr">
        <is>
          <t>Grup 7</t>
        </is>
      </c>
      <c r="C125" s="65" t="n">
        <v>4</v>
      </c>
      <c r="D125" s="30" t="n"/>
      <c r="E125" s="30" t="n"/>
      <c r="F125" s="30" t="n"/>
      <c r="G125" s="32" t="n"/>
      <c r="H125" s="30" t="n"/>
    </row>
    <row r="126" ht="17" customHeight="1">
      <c r="A126" s="63" t="inlineStr">
        <is>
          <t>MİNİK A ERKEKLER</t>
        </is>
      </c>
      <c r="B126" s="66" t="inlineStr">
        <is>
          <t>Grup 7</t>
        </is>
      </c>
      <c r="C126" s="65" t="n">
        <v>5</v>
      </c>
      <c r="D126" s="30" t="n"/>
      <c r="E126" s="30" t="n"/>
      <c r="F126" s="30" t="n"/>
      <c r="G126" s="32" t="n"/>
      <c r="H126" s="30" t="n"/>
    </row>
    <row r="127" ht="17" customHeight="1">
      <c r="A127" s="63" t="inlineStr">
        <is>
          <t>MİNİK A ERKEKLER</t>
        </is>
      </c>
      <c r="B127" s="66" t="inlineStr">
        <is>
          <t>Grup 7</t>
        </is>
      </c>
      <c r="C127" s="65" t="n">
        <v>6</v>
      </c>
      <c r="D127" s="30" t="n"/>
      <c r="E127" s="30" t="n"/>
      <c r="F127" s="30" t="n"/>
      <c r="G127" s="32" t="n"/>
      <c r="H127" s="30" t="n"/>
    </row>
    <row r="128" ht="17" customHeight="1">
      <c r="A128" s="63" t="inlineStr">
        <is>
          <t>MİNİK A ERKEKLER</t>
        </is>
      </c>
      <c r="B128" s="66" t="inlineStr">
        <is>
          <t>Grup 7</t>
        </is>
      </c>
      <c r="C128" s="65" t="n">
        <v>7</v>
      </c>
      <c r="D128" s="30" t="n"/>
      <c r="E128" s="30" t="n"/>
      <c r="F128" s="30" t="n"/>
      <c r="G128" s="32" t="n"/>
      <c r="H128" s="30" t="n"/>
    </row>
    <row r="129" ht="17" customHeight="1">
      <c r="A129" s="63" t="inlineStr">
        <is>
          <t>MİNİK A ERKEKLER</t>
        </is>
      </c>
      <c r="B129" s="66" t="inlineStr">
        <is>
          <t>Grup 7</t>
        </is>
      </c>
      <c r="C129" s="65" t="n">
        <v>8</v>
      </c>
      <c r="D129" s="30" t="n"/>
      <c r="E129" s="30" t="n"/>
      <c r="F129" s="30" t="n"/>
      <c r="G129" s="32" t="n"/>
      <c r="H129" s="30" t="n"/>
    </row>
    <row r="130" ht="17" customHeight="1">
      <c r="A130" s="73" t="inlineStr">
        <is>
          <t>MİNİK A ERKEKLER</t>
        </is>
      </c>
      <c r="B130" s="74" t="inlineStr">
        <is>
          <t>Grup 8</t>
        </is>
      </c>
      <c r="C130" s="75" t="n">
        <v>1</v>
      </c>
      <c r="D130" s="76" t="n"/>
      <c r="E130" s="76" t="n"/>
      <c r="F130" s="76" t="n"/>
      <c r="G130" s="77" t="n"/>
      <c r="H130" s="76" t="n"/>
    </row>
    <row r="131" ht="17" customHeight="1">
      <c r="A131" s="73" t="inlineStr">
        <is>
          <t>MİNİK A ERKEKLER</t>
        </is>
      </c>
      <c r="B131" s="78" t="inlineStr">
        <is>
          <t>Grup 8</t>
        </is>
      </c>
      <c r="C131" s="75" t="n">
        <v>2</v>
      </c>
      <c r="D131" s="76" t="n"/>
      <c r="E131" s="76" t="n"/>
      <c r="F131" s="76" t="n"/>
      <c r="G131" s="77" t="n"/>
      <c r="H131" s="76" t="n"/>
    </row>
    <row r="132" ht="17" customHeight="1">
      <c r="A132" s="73" t="inlineStr">
        <is>
          <t>MİNİK A ERKEKLER</t>
        </is>
      </c>
      <c r="B132" s="78" t="inlineStr">
        <is>
          <t>Grup 8</t>
        </is>
      </c>
      <c r="C132" s="75" t="n">
        <v>3</v>
      </c>
      <c r="D132" s="76" t="n"/>
      <c r="E132" s="76" t="n"/>
      <c r="F132" s="76" t="n"/>
      <c r="G132" s="77" t="n"/>
      <c r="H132" s="76" t="n"/>
    </row>
    <row r="133" ht="17" customHeight="1">
      <c r="A133" s="73" t="inlineStr">
        <is>
          <t>MİNİK A ERKEKLER</t>
        </is>
      </c>
      <c r="B133" s="78" t="inlineStr">
        <is>
          <t>Grup 8</t>
        </is>
      </c>
      <c r="C133" s="75" t="n">
        <v>4</v>
      </c>
      <c r="D133" s="76" t="n"/>
      <c r="E133" s="76" t="n"/>
      <c r="F133" s="76" t="n"/>
      <c r="G133" s="77" t="n"/>
      <c r="H133" s="76" t="n"/>
    </row>
    <row r="134" ht="17" customHeight="1">
      <c r="A134" s="73" t="inlineStr">
        <is>
          <t>MİNİK A ERKEKLER</t>
        </is>
      </c>
      <c r="B134" s="78" t="inlineStr">
        <is>
          <t>Grup 8</t>
        </is>
      </c>
      <c r="C134" s="75" t="n">
        <v>5</v>
      </c>
      <c r="D134" s="76" t="n"/>
      <c r="E134" s="76" t="n"/>
      <c r="F134" s="76" t="n"/>
      <c r="G134" s="77" t="n"/>
      <c r="H134" s="76" t="n"/>
    </row>
    <row r="135" ht="17" customHeight="1">
      <c r="A135" s="73" t="inlineStr">
        <is>
          <t>MİNİK A ERKEKLER</t>
        </is>
      </c>
      <c r="B135" s="78" t="inlineStr">
        <is>
          <t>Grup 8</t>
        </is>
      </c>
      <c r="C135" s="75" t="n">
        <v>6</v>
      </c>
      <c r="D135" s="76" t="n"/>
      <c r="E135" s="76" t="n"/>
      <c r="F135" s="76" t="n"/>
      <c r="G135" s="77" t="n"/>
      <c r="H135" s="76" t="n"/>
    </row>
    <row r="136" ht="17" customHeight="1">
      <c r="A136" s="73" t="inlineStr">
        <is>
          <t>MİNİK A ERKEKLER</t>
        </is>
      </c>
      <c r="B136" s="78" t="inlineStr">
        <is>
          <t>Grup 8</t>
        </is>
      </c>
      <c r="C136" s="75" t="n">
        <v>7</v>
      </c>
      <c r="D136" s="76" t="n"/>
      <c r="E136" s="76" t="n"/>
      <c r="F136" s="76" t="n"/>
      <c r="G136" s="77" t="n"/>
      <c r="H136" s="76" t="n"/>
    </row>
    <row r="137" ht="17" customHeight="1">
      <c r="A137" s="73" t="inlineStr">
        <is>
          <t>MİNİK A ERKEKLER</t>
        </is>
      </c>
      <c r="B137" s="78" t="inlineStr">
        <is>
          <t>Grup 8</t>
        </is>
      </c>
      <c r="C137" s="75" t="n">
        <v>8</v>
      </c>
      <c r="D137" s="76" t="n"/>
      <c r="E137" s="76" t="n"/>
      <c r="F137" s="76" t="n"/>
      <c r="G137" s="77" t="n"/>
      <c r="H137" s="76" t="n"/>
    </row>
    <row r="140" ht="22" customHeight="1">
      <c r="A140" s="49" t="inlineStr">
        <is>
          <t>MİNİK B KIZLAR</t>
        </is>
      </c>
    </row>
    <row r="141" ht="20" customHeight="1">
      <c r="A141" s="62" t="inlineStr">
        <is>
          <t>KATEGORİ</t>
        </is>
      </c>
      <c r="B141" s="62" t="inlineStr">
        <is>
          <t>GRUP</t>
        </is>
      </c>
      <c r="C141" s="62" t="inlineStr">
        <is>
          <t>SIRA</t>
        </is>
      </c>
      <c r="D141" s="62" t="inlineStr">
        <is>
          <t>AD</t>
        </is>
      </c>
      <c r="E141" s="62" t="inlineStr">
        <is>
          <t>SOYAD</t>
        </is>
      </c>
      <c r="F141" s="62" t="inlineStr">
        <is>
          <t>OKUL / KULÜP</t>
        </is>
      </c>
      <c r="G141" s="62" t="inlineStr">
        <is>
          <t>TÜR</t>
        </is>
      </c>
      <c r="H141" s="62" t="inlineStr">
        <is>
          <t>ANTRENÖR / ÖĞR.</t>
        </is>
      </c>
    </row>
    <row r="142" ht="17" customHeight="1">
      <c r="A142" s="63" t="inlineStr">
        <is>
          <t>MİNİK B KIZLAR</t>
        </is>
      </c>
      <c r="B142" s="64" t="inlineStr">
        <is>
          <t>Grup 1</t>
        </is>
      </c>
      <c r="C142" s="65" t="n">
        <v>1</v>
      </c>
      <c r="D142" s="30" t="n"/>
      <c r="E142" s="30" t="n"/>
      <c r="F142" s="30" t="n"/>
      <c r="G142" s="32" t="n"/>
      <c r="H142" s="30" t="n"/>
    </row>
    <row r="143" ht="17" customHeight="1">
      <c r="A143" s="63" t="inlineStr">
        <is>
          <t>MİNİK B KIZLAR</t>
        </is>
      </c>
      <c r="B143" s="66" t="inlineStr">
        <is>
          <t>Grup 1</t>
        </is>
      </c>
      <c r="C143" s="65" t="n">
        <v>2</v>
      </c>
      <c r="D143" s="30" t="n"/>
      <c r="E143" s="30" t="n"/>
      <c r="F143" s="30" t="n"/>
      <c r="G143" s="32" t="n"/>
      <c r="H143" s="30" t="n"/>
    </row>
    <row r="144" ht="17" customHeight="1">
      <c r="A144" s="63" t="inlineStr">
        <is>
          <t>MİNİK B KIZLAR</t>
        </is>
      </c>
      <c r="B144" s="66" t="inlineStr">
        <is>
          <t>Grup 1</t>
        </is>
      </c>
      <c r="C144" s="65" t="n">
        <v>3</v>
      </c>
      <c r="D144" s="30" t="n"/>
      <c r="E144" s="30" t="n"/>
      <c r="F144" s="30" t="n"/>
      <c r="G144" s="32" t="n"/>
      <c r="H144" s="30" t="n"/>
    </row>
    <row r="145" ht="17" customHeight="1">
      <c r="A145" s="63" t="inlineStr">
        <is>
          <t>MİNİK B KIZLAR</t>
        </is>
      </c>
      <c r="B145" s="66" t="inlineStr">
        <is>
          <t>Grup 1</t>
        </is>
      </c>
      <c r="C145" s="65" t="n">
        <v>4</v>
      </c>
      <c r="D145" s="30" t="n"/>
      <c r="E145" s="30" t="n"/>
      <c r="F145" s="30" t="n"/>
      <c r="G145" s="32" t="n"/>
      <c r="H145" s="30" t="n"/>
    </row>
    <row r="146" ht="17" customHeight="1">
      <c r="A146" s="63" t="inlineStr">
        <is>
          <t>MİNİK B KIZLAR</t>
        </is>
      </c>
      <c r="B146" s="66" t="inlineStr">
        <is>
          <t>Grup 1</t>
        </is>
      </c>
      <c r="C146" s="65" t="n">
        <v>5</v>
      </c>
      <c r="D146" s="30" t="n"/>
      <c r="E146" s="30" t="n"/>
      <c r="F146" s="30" t="n"/>
      <c r="G146" s="32" t="n"/>
      <c r="H146" s="30" t="n"/>
    </row>
    <row r="147" ht="17" customHeight="1">
      <c r="A147" s="63" t="inlineStr">
        <is>
          <t>MİNİK B KIZLAR</t>
        </is>
      </c>
      <c r="B147" s="66" t="inlineStr">
        <is>
          <t>Grup 1</t>
        </is>
      </c>
      <c r="C147" s="65" t="n">
        <v>6</v>
      </c>
      <c r="D147" s="30" t="n"/>
      <c r="E147" s="30" t="n"/>
      <c r="F147" s="30" t="n"/>
      <c r="G147" s="32" t="n"/>
      <c r="H147" s="30" t="n"/>
    </row>
    <row r="148" ht="17" customHeight="1">
      <c r="A148" s="63" t="inlineStr">
        <is>
          <t>MİNİK B KIZLAR</t>
        </is>
      </c>
      <c r="B148" s="66" t="inlineStr">
        <is>
          <t>Grup 1</t>
        </is>
      </c>
      <c r="C148" s="65" t="n">
        <v>7</v>
      </c>
      <c r="D148" s="30" t="n"/>
      <c r="E148" s="30" t="n"/>
      <c r="F148" s="30" t="n"/>
      <c r="G148" s="32" t="n"/>
      <c r="H148" s="30" t="n"/>
    </row>
    <row r="149" ht="17" customHeight="1">
      <c r="A149" s="63" t="inlineStr">
        <is>
          <t>MİNİK B KIZLAR</t>
        </is>
      </c>
      <c r="B149" s="66" t="inlineStr">
        <is>
          <t>Grup 1</t>
        </is>
      </c>
      <c r="C149" s="65" t="n">
        <v>8</v>
      </c>
      <c r="D149" s="30" t="n"/>
      <c r="E149" s="30" t="n"/>
      <c r="F149" s="30" t="n"/>
      <c r="G149" s="32" t="n"/>
      <c r="H149" s="30" t="n"/>
    </row>
    <row r="150" ht="17" customHeight="1">
      <c r="A150" s="67" t="inlineStr">
        <is>
          <t>MİNİK B KIZLAR</t>
        </is>
      </c>
      <c r="B150" s="68" t="inlineStr">
        <is>
          <t>Grup 2</t>
        </is>
      </c>
      <c r="C150" s="69" t="n">
        <v>1</v>
      </c>
      <c r="D150" s="70" t="n"/>
      <c r="E150" s="70" t="n"/>
      <c r="F150" s="70" t="n"/>
      <c r="G150" s="71" t="n"/>
      <c r="H150" s="70" t="n"/>
    </row>
    <row r="151" ht="17" customHeight="1">
      <c r="A151" s="67" t="inlineStr">
        <is>
          <t>MİNİK B KIZLAR</t>
        </is>
      </c>
      <c r="B151" s="72" t="inlineStr">
        <is>
          <t>Grup 2</t>
        </is>
      </c>
      <c r="C151" s="69" t="n">
        <v>2</v>
      </c>
      <c r="D151" s="70" t="n"/>
      <c r="E151" s="70" t="n"/>
      <c r="F151" s="70" t="n"/>
      <c r="G151" s="71" t="n"/>
      <c r="H151" s="70" t="n"/>
    </row>
    <row r="152" ht="17" customHeight="1">
      <c r="A152" s="67" t="inlineStr">
        <is>
          <t>MİNİK B KIZLAR</t>
        </is>
      </c>
      <c r="B152" s="72" t="inlineStr">
        <is>
          <t>Grup 2</t>
        </is>
      </c>
      <c r="C152" s="69" t="n">
        <v>3</v>
      </c>
      <c r="D152" s="70" t="n"/>
      <c r="E152" s="70" t="n"/>
      <c r="F152" s="70" t="n"/>
      <c r="G152" s="71" t="n"/>
      <c r="H152" s="70" t="n"/>
    </row>
    <row r="153" ht="17" customHeight="1">
      <c r="A153" s="67" t="inlineStr">
        <is>
          <t>MİNİK B KIZLAR</t>
        </is>
      </c>
      <c r="B153" s="72" t="inlineStr">
        <is>
          <t>Grup 2</t>
        </is>
      </c>
      <c r="C153" s="69" t="n">
        <v>4</v>
      </c>
      <c r="D153" s="70" t="n"/>
      <c r="E153" s="70" t="n"/>
      <c r="F153" s="70" t="n"/>
      <c r="G153" s="71" t="n"/>
      <c r="H153" s="70" t="n"/>
    </row>
    <row r="154" ht="17" customHeight="1">
      <c r="A154" s="67" t="inlineStr">
        <is>
          <t>MİNİK B KIZLAR</t>
        </is>
      </c>
      <c r="B154" s="72" t="inlineStr">
        <is>
          <t>Grup 2</t>
        </is>
      </c>
      <c r="C154" s="69" t="n">
        <v>5</v>
      </c>
      <c r="D154" s="70" t="n"/>
      <c r="E154" s="70" t="n"/>
      <c r="F154" s="70" t="n"/>
      <c r="G154" s="71" t="n"/>
      <c r="H154" s="70" t="n"/>
    </row>
    <row r="155" ht="17" customHeight="1">
      <c r="A155" s="67" t="inlineStr">
        <is>
          <t>MİNİK B KIZLAR</t>
        </is>
      </c>
      <c r="B155" s="72" t="inlineStr">
        <is>
          <t>Grup 2</t>
        </is>
      </c>
      <c r="C155" s="69" t="n">
        <v>6</v>
      </c>
      <c r="D155" s="70" t="n"/>
      <c r="E155" s="70" t="n"/>
      <c r="F155" s="70" t="n"/>
      <c r="G155" s="71" t="n"/>
      <c r="H155" s="70" t="n"/>
    </row>
    <row r="156" ht="17" customHeight="1">
      <c r="A156" s="67" t="inlineStr">
        <is>
          <t>MİNİK B KIZLAR</t>
        </is>
      </c>
      <c r="B156" s="72" t="inlineStr">
        <is>
          <t>Grup 2</t>
        </is>
      </c>
      <c r="C156" s="69" t="n">
        <v>7</v>
      </c>
      <c r="D156" s="70" t="n"/>
      <c r="E156" s="70" t="n"/>
      <c r="F156" s="70" t="n"/>
      <c r="G156" s="71" t="n"/>
      <c r="H156" s="70" t="n"/>
    </row>
    <row r="157" ht="17" customHeight="1">
      <c r="A157" s="67" t="inlineStr">
        <is>
          <t>MİNİK B KIZLAR</t>
        </is>
      </c>
      <c r="B157" s="72" t="inlineStr">
        <is>
          <t>Grup 2</t>
        </is>
      </c>
      <c r="C157" s="69" t="n">
        <v>8</v>
      </c>
      <c r="D157" s="70" t="n"/>
      <c r="E157" s="70" t="n"/>
      <c r="F157" s="70" t="n"/>
      <c r="G157" s="71" t="n"/>
      <c r="H157" s="70" t="n"/>
    </row>
    <row r="158" ht="17" customHeight="1">
      <c r="A158" s="63" t="inlineStr">
        <is>
          <t>MİNİK B KIZLAR</t>
        </is>
      </c>
      <c r="B158" s="64" t="inlineStr">
        <is>
          <t>Grup 3</t>
        </is>
      </c>
      <c r="C158" s="65" t="n">
        <v>1</v>
      </c>
      <c r="D158" s="30" t="n"/>
      <c r="E158" s="30" t="n"/>
      <c r="F158" s="30" t="n"/>
      <c r="G158" s="32" t="n"/>
      <c r="H158" s="30" t="n"/>
    </row>
    <row r="159" ht="17" customHeight="1">
      <c r="A159" s="63" t="inlineStr">
        <is>
          <t>MİNİK B KIZLAR</t>
        </is>
      </c>
      <c r="B159" s="66" t="inlineStr">
        <is>
          <t>Grup 3</t>
        </is>
      </c>
      <c r="C159" s="65" t="n">
        <v>2</v>
      </c>
      <c r="D159" s="30" t="n"/>
      <c r="E159" s="30" t="n"/>
      <c r="F159" s="30" t="n"/>
      <c r="G159" s="32" t="n"/>
      <c r="H159" s="30" t="n"/>
    </row>
    <row r="160" ht="17" customHeight="1">
      <c r="A160" s="63" t="inlineStr">
        <is>
          <t>MİNİK B KIZLAR</t>
        </is>
      </c>
      <c r="B160" s="66" t="inlineStr">
        <is>
          <t>Grup 3</t>
        </is>
      </c>
      <c r="C160" s="65" t="n">
        <v>3</v>
      </c>
      <c r="D160" s="30" t="n"/>
      <c r="E160" s="30" t="n"/>
      <c r="F160" s="30" t="n"/>
      <c r="G160" s="32" t="n"/>
      <c r="H160" s="30" t="n"/>
    </row>
    <row r="161" ht="17" customHeight="1">
      <c r="A161" s="63" t="inlineStr">
        <is>
          <t>MİNİK B KIZLAR</t>
        </is>
      </c>
      <c r="B161" s="66" t="inlineStr">
        <is>
          <t>Grup 3</t>
        </is>
      </c>
      <c r="C161" s="65" t="n">
        <v>4</v>
      </c>
      <c r="D161" s="30" t="n"/>
      <c r="E161" s="30" t="n"/>
      <c r="F161" s="30" t="n"/>
      <c r="G161" s="32" t="n"/>
      <c r="H161" s="30" t="n"/>
    </row>
    <row r="162" ht="17" customHeight="1">
      <c r="A162" s="63" t="inlineStr">
        <is>
          <t>MİNİK B KIZLAR</t>
        </is>
      </c>
      <c r="B162" s="66" t="inlineStr">
        <is>
          <t>Grup 3</t>
        </is>
      </c>
      <c r="C162" s="65" t="n">
        <v>5</v>
      </c>
      <c r="D162" s="30" t="n"/>
      <c r="E162" s="30" t="n"/>
      <c r="F162" s="30" t="n"/>
      <c r="G162" s="32" t="n"/>
      <c r="H162" s="30" t="n"/>
    </row>
    <row r="163" ht="17" customHeight="1">
      <c r="A163" s="63" t="inlineStr">
        <is>
          <t>MİNİK B KIZLAR</t>
        </is>
      </c>
      <c r="B163" s="66" t="inlineStr">
        <is>
          <t>Grup 3</t>
        </is>
      </c>
      <c r="C163" s="65" t="n">
        <v>6</v>
      </c>
      <c r="D163" s="30" t="n"/>
      <c r="E163" s="30" t="n"/>
      <c r="F163" s="30" t="n"/>
      <c r="G163" s="32" t="n"/>
      <c r="H163" s="30" t="n"/>
    </row>
    <row r="164" ht="17" customHeight="1">
      <c r="A164" s="63" t="inlineStr">
        <is>
          <t>MİNİK B KIZLAR</t>
        </is>
      </c>
      <c r="B164" s="66" t="inlineStr">
        <is>
          <t>Grup 3</t>
        </is>
      </c>
      <c r="C164" s="65" t="n">
        <v>7</v>
      </c>
      <c r="D164" s="30" t="n"/>
      <c r="E164" s="30" t="n"/>
      <c r="F164" s="30" t="n"/>
      <c r="G164" s="32" t="n"/>
      <c r="H164" s="30" t="n"/>
    </row>
    <row r="165" ht="17" customHeight="1">
      <c r="A165" s="63" t="inlineStr">
        <is>
          <t>MİNİK B KIZLAR</t>
        </is>
      </c>
      <c r="B165" s="66" t="inlineStr">
        <is>
          <t>Grup 3</t>
        </is>
      </c>
      <c r="C165" s="65" t="n">
        <v>8</v>
      </c>
      <c r="D165" s="30" t="n"/>
      <c r="E165" s="30" t="n"/>
      <c r="F165" s="30" t="n"/>
      <c r="G165" s="32" t="n"/>
      <c r="H165" s="30" t="n"/>
    </row>
    <row r="166" ht="17" customHeight="1">
      <c r="A166" s="67" t="inlineStr">
        <is>
          <t>MİNİK B KIZLAR</t>
        </is>
      </c>
      <c r="B166" s="68" t="inlineStr">
        <is>
          <t>Grup 4</t>
        </is>
      </c>
      <c r="C166" s="69" t="n">
        <v>1</v>
      </c>
      <c r="D166" s="70" t="n"/>
      <c r="E166" s="70" t="n"/>
      <c r="F166" s="70" t="n"/>
      <c r="G166" s="71" t="n"/>
      <c r="H166" s="70" t="n"/>
    </row>
    <row r="167" ht="17" customHeight="1">
      <c r="A167" s="67" t="inlineStr">
        <is>
          <t>MİNİK B KIZLAR</t>
        </is>
      </c>
      <c r="B167" s="72" t="inlineStr">
        <is>
          <t>Grup 4</t>
        </is>
      </c>
      <c r="C167" s="69" t="n">
        <v>2</v>
      </c>
      <c r="D167" s="70" t="n"/>
      <c r="E167" s="70" t="n"/>
      <c r="F167" s="70" t="n"/>
      <c r="G167" s="71" t="n"/>
      <c r="H167" s="70" t="n"/>
    </row>
    <row r="168" ht="17" customHeight="1">
      <c r="A168" s="67" t="inlineStr">
        <is>
          <t>MİNİK B KIZLAR</t>
        </is>
      </c>
      <c r="B168" s="72" t="inlineStr">
        <is>
          <t>Grup 4</t>
        </is>
      </c>
      <c r="C168" s="69" t="n">
        <v>3</v>
      </c>
      <c r="D168" s="70" t="n"/>
      <c r="E168" s="70" t="n"/>
      <c r="F168" s="70" t="n"/>
      <c r="G168" s="71" t="n"/>
      <c r="H168" s="70" t="n"/>
    </row>
    <row r="169" ht="17" customHeight="1">
      <c r="A169" s="67" t="inlineStr">
        <is>
          <t>MİNİK B KIZLAR</t>
        </is>
      </c>
      <c r="B169" s="72" t="inlineStr">
        <is>
          <t>Grup 4</t>
        </is>
      </c>
      <c r="C169" s="69" t="n">
        <v>4</v>
      </c>
      <c r="D169" s="70" t="n"/>
      <c r="E169" s="70" t="n"/>
      <c r="F169" s="70" t="n"/>
      <c r="G169" s="71" t="n"/>
      <c r="H169" s="70" t="n"/>
    </row>
    <row r="170" ht="17" customHeight="1">
      <c r="A170" s="67" t="inlineStr">
        <is>
          <t>MİNİK B KIZLAR</t>
        </is>
      </c>
      <c r="B170" s="72" t="inlineStr">
        <is>
          <t>Grup 4</t>
        </is>
      </c>
      <c r="C170" s="69" t="n">
        <v>5</v>
      </c>
      <c r="D170" s="70" t="n"/>
      <c r="E170" s="70" t="n"/>
      <c r="F170" s="70" t="n"/>
      <c r="G170" s="71" t="n"/>
      <c r="H170" s="70" t="n"/>
    </row>
    <row r="171" ht="17" customHeight="1">
      <c r="A171" s="67" t="inlineStr">
        <is>
          <t>MİNİK B KIZLAR</t>
        </is>
      </c>
      <c r="B171" s="72" t="inlineStr">
        <is>
          <t>Grup 4</t>
        </is>
      </c>
      <c r="C171" s="69" t="n">
        <v>6</v>
      </c>
      <c r="D171" s="70" t="n"/>
      <c r="E171" s="70" t="n"/>
      <c r="F171" s="70" t="n"/>
      <c r="G171" s="71" t="n"/>
      <c r="H171" s="70" t="n"/>
    </row>
    <row r="172" ht="17" customHeight="1">
      <c r="A172" s="67" t="inlineStr">
        <is>
          <t>MİNİK B KIZLAR</t>
        </is>
      </c>
      <c r="B172" s="72" t="inlineStr">
        <is>
          <t>Grup 4</t>
        </is>
      </c>
      <c r="C172" s="69" t="n">
        <v>7</v>
      </c>
      <c r="D172" s="70" t="n"/>
      <c r="E172" s="70" t="n"/>
      <c r="F172" s="70" t="n"/>
      <c r="G172" s="71" t="n"/>
      <c r="H172" s="70" t="n"/>
    </row>
    <row r="173" ht="17" customHeight="1">
      <c r="A173" s="67" t="inlineStr">
        <is>
          <t>MİNİK B KIZLAR</t>
        </is>
      </c>
      <c r="B173" s="72" t="inlineStr">
        <is>
          <t>Grup 4</t>
        </is>
      </c>
      <c r="C173" s="69" t="n">
        <v>8</v>
      </c>
      <c r="D173" s="70" t="n"/>
      <c r="E173" s="70" t="n"/>
      <c r="F173" s="70" t="n"/>
      <c r="G173" s="71" t="n"/>
      <c r="H173" s="70" t="n"/>
    </row>
    <row r="174" ht="17" customHeight="1">
      <c r="A174" s="63" t="inlineStr">
        <is>
          <t>MİNİK B KIZLAR</t>
        </is>
      </c>
      <c r="B174" s="64" t="inlineStr">
        <is>
          <t>Grup 5</t>
        </is>
      </c>
      <c r="C174" s="65" t="n">
        <v>1</v>
      </c>
      <c r="D174" s="30" t="n"/>
      <c r="E174" s="30" t="n"/>
      <c r="F174" s="30" t="n"/>
      <c r="G174" s="32" t="n"/>
      <c r="H174" s="30" t="n"/>
    </row>
    <row r="175" ht="17" customHeight="1">
      <c r="A175" s="63" t="inlineStr">
        <is>
          <t>MİNİK B KIZLAR</t>
        </is>
      </c>
      <c r="B175" s="66" t="inlineStr">
        <is>
          <t>Grup 5</t>
        </is>
      </c>
      <c r="C175" s="65" t="n">
        <v>2</v>
      </c>
      <c r="D175" s="30" t="n"/>
      <c r="E175" s="30" t="n"/>
      <c r="F175" s="30" t="n"/>
      <c r="G175" s="32" t="n"/>
      <c r="H175" s="30" t="n"/>
    </row>
    <row r="176" ht="17" customHeight="1">
      <c r="A176" s="63" t="inlineStr">
        <is>
          <t>MİNİK B KIZLAR</t>
        </is>
      </c>
      <c r="B176" s="66" t="inlineStr">
        <is>
          <t>Grup 5</t>
        </is>
      </c>
      <c r="C176" s="65" t="n">
        <v>3</v>
      </c>
      <c r="D176" s="30" t="n"/>
      <c r="E176" s="30" t="n"/>
      <c r="F176" s="30" t="n"/>
      <c r="G176" s="32" t="n"/>
      <c r="H176" s="30" t="n"/>
    </row>
    <row r="177" ht="17" customHeight="1">
      <c r="A177" s="63" t="inlineStr">
        <is>
          <t>MİNİK B KIZLAR</t>
        </is>
      </c>
      <c r="B177" s="66" t="inlineStr">
        <is>
          <t>Grup 5</t>
        </is>
      </c>
      <c r="C177" s="65" t="n">
        <v>4</v>
      </c>
      <c r="D177" s="30" t="n"/>
      <c r="E177" s="30" t="n"/>
      <c r="F177" s="30" t="n"/>
      <c r="G177" s="32" t="n"/>
      <c r="H177" s="30" t="n"/>
    </row>
    <row r="178" ht="17" customHeight="1">
      <c r="A178" s="63" t="inlineStr">
        <is>
          <t>MİNİK B KIZLAR</t>
        </is>
      </c>
      <c r="B178" s="66" t="inlineStr">
        <is>
          <t>Grup 5</t>
        </is>
      </c>
      <c r="C178" s="65" t="n">
        <v>5</v>
      </c>
      <c r="D178" s="30" t="n"/>
      <c r="E178" s="30" t="n"/>
      <c r="F178" s="30" t="n"/>
      <c r="G178" s="32" t="n"/>
      <c r="H178" s="30" t="n"/>
    </row>
    <row r="179" ht="17" customHeight="1">
      <c r="A179" s="63" t="inlineStr">
        <is>
          <t>MİNİK B KIZLAR</t>
        </is>
      </c>
      <c r="B179" s="66" t="inlineStr">
        <is>
          <t>Grup 5</t>
        </is>
      </c>
      <c r="C179" s="65" t="n">
        <v>6</v>
      </c>
      <c r="D179" s="30" t="n"/>
      <c r="E179" s="30" t="n"/>
      <c r="F179" s="30" t="n"/>
      <c r="G179" s="32" t="n"/>
      <c r="H179" s="30" t="n"/>
    </row>
    <row r="180" ht="17" customHeight="1">
      <c r="A180" s="63" t="inlineStr">
        <is>
          <t>MİNİK B KIZLAR</t>
        </is>
      </c>
      <c r="B180" s="66" t="inlineStr">
        <is>
          <t>Grup 5</t>
        </is>
      </c>
      <c r="C180" s="65" t="n">
        <v>7</v>
      </c>
      <c r="D180" s="30" t="n"/>
      <c r="E180" s="30" t="n"/>
      <c r="F180" s="30" t="n"/>
      <c r="G180" s="32" t="n"/>
      <c r="H180" s="30" t="n"/>
    </row>
    <row r="181" ht="17" customHeight="1">
      <c r="A181" s="63" t="inlineStr">
        <is>
          <t>MİNİK B KIZLAR</t>
        </is>
      </c>
      <c r="B181" s="66" t="inlineStr">
        <is>
          <t>Grup 5</t>
        </is>
      </c>
      <c r="C181" s="65" t="n">
        <v>8</v>
      </c>
      <c r="D181" s="30" t="n"/>
      <c r="E181" s="30" t="n"/>
      <c r="F181" s="30" t="n"/>
      <c r="G181" s="32" t="n"/>
      <c r="H181" s="30" t="n"/>
    </row>
    <row r="182" ht="17" customHeight="1">
      <c r="A182" s="67" t="inlineStr">
        <is>
          <t>MİNİK B KIZLAR</t>
        </is>
      </c>
      <c r="B182" s="68" t="inlineStr">
        <is>
          <t>Grup 6</t>
        </is>
      </c>
      <c r="C182" s="69" t="n">
        <v>1</v>
      </c>
      <c r="D182" s="70" t="n"/>
      <c r="E182" s="70" t="n"/>
      <c r="F182" s="70" t="n"/>
      <c r="G182" s="71" t="n"/>
      <c r="H182" s="70" t="n"/>
    </row>
    <row r="183" ht="17" customHeight="1">
      <c r="A183" s="67" t="inlineStr">
        <is>
          <t>MİNİK B KIZLAR</t>
        </is>
      </c>
      <c r="B183" s="72" t="inlineStr">
        <is>
          <t>Grup 6</t>
        </is>
      </c>
      <c r="C183" s="69" t="n">
        <v>2</v>
      </c>
      <c r="D183" s="70" t="n"/>
      <c r="E183" s="70" t="n"/>
      <c r="F183" s="70" t="n"/>
      <c r="G183" s="71" t="n"/>
      <c r="H183" s="70" t="n"/>
    </row>
    <row r="184" ht="17" customHeight="1">
      <c r="A184" s="67" t="inlineStr">
        <is>
          <t>MİNİK B KIZLAR</t>
        </is>
      </c>
      <c r="B184" s="72" t="inlineStr">
        <is>
          <t>Grup 6</t>
        </is>
      </c>
      <c r="C184" s="69" t="n">
        <v>3</v>
      </c>
      <c r="D184" s="70" t="n"/>
      <c r="E184" s="70" t="n"/>
      <c r="F184" s="70" t="n"/>
      <c r="G184" s="71" t="n"/>
      <c r="H184" s="70" t="n"/>
    </row>
    <row r="185" ht="17" customHeight="1">
      <c r="A185" s="67" t="inlineStr">
        <is>
          <t>MİNİK B KIZLAR</t>
        </is>
      </c>
      <c r="B185" s="72" t="inlineStr">
        <is>
          <t>Grup 6</t>
        </is>
      </c>
      <c r="C185" s="69" t="n">
        <v>4</v>
      </c>
      <c r="D185" s="70" t="n"/>
      <c r="E185" s="70" t="n"/>
      <c r="F185" s="70" t="n"/>
      <c r="G185" s="71" t="n"/>
      <c r="H185" s="70" t="n"/>
    </row>
    <row r="186" ht="17" customHeight="1">
      <c r="A186" s="67" t="inlineStr">
        <is>
          <t>MİNİK B KIZLAR</t>
        </is>
      </c>
      <c r="B186" s="72" t="inlineStr">
        <is>
          <t>Grup 6</t>
        </is>
      </c>
      <c r="C186" s="69" t="n">
        <v>5</v>
      </c>
      <c r="D186" s="70" t="n"/>
      <c r="E186" s="70" t="n"/>
      <c r="F186" s="70" t="n"/>
      <c r="G186" s="71" t="n"/>
      <c r="H186" s="70" t="n"/>
    </row>
    <row r="187" ht="17" customHeight="1">
      <c r="A187" s="67" t="inlineStr">
        <is>
          <t>MİNİK B KIZLAR</t>
        </is>
      </c>
      <c r="B187" s="72" t="inlineStr">
        <is>
          <t>Grup 6</t>
        </is>
      </c>
      <c r="C187" s="69" t="n">
        <v>6</v>
      </c>
      <c r="D187" s="70" t="n"/>
      <c r="E187" s="70" t="n"/>
      <c r="F187" s="70" t="n"/>
      <c r="G187" s="71" t="n"/>
      <c r="H187" s="70" t="n"/>
    </row>
    <row r="188" ht="17" customHeight="1">
      <c r="A188" s="67" t="inlineStr">
        <is>
          <t>MİNİK B KIZLAR</t>
        </is>
      </c>
      <c r="B188" s="72" t="inlineStr">
        <is>
          <t>Grup 6</t>
        </is>
      </c>
      <c r="C188" s="69" t="n">
        <v>7</v>
      </c>
      <c r="D188" s="70" t="n"/>
      <c r="E188" s="70" t="n"/>
      <c r="F188" s="70" t="n"/>
      <c r="G188" s="71" t="n"/>
      <c r="H188" s="70" t="n"/>
    </row>
    <row r="189" ht="17" customHeight="1">
      <c r="A189" s="67" t="inlineStr">
        <is>
          <t>MİNİK B KIZLAR</t>
        </is>
      </c>
      <c r="B189" s="72" t="inlineStr">
        <is>
          <t>Grup 6</t>
        </is>
      </c>
      <c r="C189" s="69" t="n">
        <v>8</v>
      </c>
      <c r="D189" s="70" t="n"/>
      <c r="E189" s="70" t="n"/>
      <c r="F189" s="70" t="n"/>
      <c r="G189" s="71" t="n"/>
      <c r="H189" s="70" t="n"/>
    </row>
    <row r="190" ht="17" customHeight="1">
      <c r="A190" s="63" t="inlineStr">
        <is>
          <t>MİNİK B KIZLAR</t>
        </is>
      </c>
      <c r="B190" s="64" t="inlineStr">
        <is>
          <t>Grup 7</t>
        </is>
      </c>
      <c r="C190" s="65" t="n">
        <v>1</v>
      </c>
      <c r="D190" s="30" t="n"/>
      <c r="E190" s="30" t="n"/>
      <c r="F190" s="30" t="n"/>
      <c r="G190" s="32" t="n"/>
      <c r="H190" s="30" t="n"/>
    </row>
    <row r="191" ht="17" customHeight="1">
      <c r="A191" s="63" t="inlineStr">
        <is>
          <t>MİNİK B KIZLAR</t>
        </is>
      </c>
      <c r="B191" s="66" t="inlineStr">
        <is>
          <t>Grup 7</t>
        </is>
      </c>
      <c r="C191" s="65" t="n">
        <v>2</v>
      </c>
      <c r="D191" s="30" t="n"/>
      <c r="E191" s="30" t="n"/>
      <c r="F191" s="30" t="n"/>
      <c r="G191" s="32" t="n"/>
      <c r="H191" s="30" t="n"/>
    </row>
    <row r="192" ht="17" customHeight="1">
      <c r="A192" s="63" t="inlineStr">
        <is>
          <t>MİNİK B KIZLAR</t>
        </is>
      </c>
      <c r="B192" s="66" t="inlineStr">
        <is>
          <t>Grup 7</t>
        </is>
      </c>
      <c r="C192" s="65" t="n">
        <v>3</v>
      </c>
      <c r="D192" s="30" t="n"/>
      <c r="E192" s="30" t="n"/>
      <c r="F192" s="30" t="n"/>
      <c r="G192" s="32" t="n"/>
      <c r="H192" s="30" t="n"/>
    </row>
    <row r="193" ht="17" customHeight="1">
      <c r="A193" s="63" t="inlineStr">
        <is>
          <t>MİNİK B KIZLAR</t>
        </is>
      </c>
      <c r="B193" s="66" t="inlineStr">
        <is>
          <t>Grup 7</t>
        </is>
      </c>
      <c r="C193" s="65" t="n">
        <v>4</v>
      </c>
      <c r="D193" s="30" t="n"/>
      <c r="E193" s="30" t="n"/>
      <c r="F193" s="30" t="n"/>
      <c r="G193" s="32" t="n"/>
      <c r="H193" s="30" t="n"/>
    </row>
    <row r="194" ht="17" customHeight="1">
      <c r="A194" s="63" t="inlineStr">
        <is>
          <t>MİNİK B KIZLAR</t>
        </is>
      </c>
      <c r="B194" s="66" t="inlineStr">
        <is>
          <t>Grup 7</t>
        </is>
      </c>
      <c r="C194" s="65" t="n">
        <v>5</v>
      </c>
      <c r="D194" s="30" t="n"/>
      <c r="E194" s="30" t="n"/>
      <c r="F194" s="30" t="n"/>
      <c r="G194" s="32" t="n"/>
      <c r="H194" s="30" t="n"/>
    </row>
    <row r="195" ht="17" customHeight="1">
      <c r="A195" s="63" t="inlineStr">
        <is>
          <t>MİNİK B KIZLAR</t>
        </is>
      </c>
      <c r="B195" s="66" t="inlineStr">
        <is>
          <t>Grup 7</t>
        </is>
      </c>
      <c r="C195" s="65" t="n">
        <v>6</v>
      </c>
      <c r="D195" s="30" t="n"/>
      <c r="E195" s="30" t="n"/>
      <c r="F195" s="30" t="n"/>
      <c r="G195" s="32" t="n"/>
      <c r="H195" s="30" t="n"/>
    </row>
    <row r="196" ht="17" customHeight="1">
      <c r="A196" s="63" t="inlineStr">
        <is>
          <t>MİNİK B KIZLAR</t>
        </is>
      </c>
      <c r="B196" s="66" t="inlineStr">
        <is>
          <t>Grup 7</t>
        </is>
      </c>
      <c r="C196" s="65" t="n">
        <v>7</v>
      </c>
      <c r="D196" s="30" t="n"/>
      <c r="E196" s="30" t="n"/>
      <c r="F196" s="30" t="n"/>
      <c r="G196" s="32" t="n"/>
      <c r="H196" s="30" t="n"/>
    </row>
    <row r="197" ht="17" customHeight="1">
      <c r="A197" s="63" t="inlineStr">
        <is>
          <t>MİNİK B KIZLAR</t>
        </is>
      </c>
      <c r="B197" s="66" t="inlineStr">
        <is>
          <t>Grup 7</t>
        </is>
      </c>
      <c r="C197" s="65" t="n">
        <v>8</v>
      </c>
      <c r="D197" s="30" t="n"/>
      <c r="E197" s="30" t="n"/>
      <c r="F197" s="30" t="n"/>
      <c r="G197" s="32" t="n"/>
      <c r="H197" s="30" t="n"/>
    </row>
    <row r="198" ht="17" customHeight="1">
      <c r="A198" s="67" t="inlineStr">
        <is>
          <t>MİNİK B KIZLAR</t>
        </is>
      </c>
      <c r="B198" s="68" t="inlineStr">
        <is>
          <t>Grup 8</t>
        </is>
      </c>
      <c r="C198" s="69" t="n">
        <v>1</v>
      </c>
      <c r="D198" s="70" t="n"/>
      <c r="E198" s="70" t="n"/>
      <c r="F198" s="70" t="n"/>
      <c r="G198" s="71" t="n"/>
      <c r="H198" s="70" t="n"/>
    </row>
    <row r="199" ht="17" customHeight="1">
      <c r="A199" s="67" t="inlineStr">
        <is>
          <t>MİNİK B KIZLAR</t>
        </is>
      </c>
      <c r="B199" s="72" t="inlineStr">
        <is>
          <t>Grup 8</t>
        </is>
      </c>
      <c r="C199" s="69" t="n">
        <v>2</v>
      </c>
      <c r="D199" s="70" t="n"/>
      <c r="E199" s="70" t="n"/>
      <c r="F199" s="70" t="n"/>
      <c r="G199" s="71" t="n"/>
      <c r="H199" s="70" t="n"/>
    </row>
    <row r="200" ht="17" customHeight="1">
      <c r="A200" s="67" t="inlineStr">
        <is>
          <t>MİNİK B KIZLAR</t>
        </is>
      </c>
      <c r="B200" s="72" t="inlineStr">
        <is>
          <t>Grup 8</t>
        </is>
      </c>
      <c r="C200" s="69" t="n">
        <v>3</v>
      </c>
      <c r="D200" s="70" t="n"/>
      <c r="E200" s="70" t="n"/>
      <c r="F200" s="70" t="n"/>
      <c r="G200" s="71" t="n"/>
      <c r="H200" s="70" t="n"/>
    </row>
    <row r="201" ht="17" customHeight="1">
      <c r="A201" s="67" t="inlineStr">
        <is>
          <t>MİNİK B KIZLAR</t>
        </is>
      </c>
      <c r="B201" s="72" t="inlineStr">
        <is>
          <t>Grup 8</t>
        </is>
      </c>
      <c r="C201" s="69" t="n">
        <v>4</v>
      </c>
      <c r="D201" s="70" t="n"/>
      <c r="E201" s="70" t="n"/>
      <c r="F201" s="70" t="n"/>
      <c r="G201" s="71" t="n"/>
      <c r="H201" s="70" t="n"/>
    </row>
    <row r="202" ht="17" customHeight="1">
      <c r="A202" s="67" t="inlineStr">
        <is>
          <t>MİNİK B KIZLAR</t>
        </is>
      </c>
      <c r="B202" s="72" t="inlineStr">
        <is>
          <t>Grup 8</t>
        </is>
      </c>
      <c r="C202" s="69" t="n">
        <v>5</v>
      </c>
      <c r="D202" s="70" t="n"/>
      <c r="E202" s="70" t="n"/>
      <c r="F202" s="70" t="n"/>
      <c r="G202" s="71" t="n"/>
      <c r="H202" s="70" t="n"/>
    </row>
    <row r="203" ht="17" customHeight="1">
      <c r="A203" s="67" t="inlineStr">
        <is>
          <t>MİNİK B KIZLAR</t>
        </is>
      </c>
      <c r="B203" s="72" t="inlineStr">
        <is>
          <t>Grup 8</t>
        </is>
      </c>
      <c r="C203" s="69" t="n">
        <v>6</v>
      </c>
      <c r="D203" s="70" t="n"/>
      <c r="E203" s="70" t="n"/>
      <c r="F203" s="70" t="n"/>
      <c r="G203" s="71" t="n"/>
      <c r="H203" s="70" t="n"/>
    </row>
    <row r="204" ht="17" customHeight="1">
      <c r="A204" s="67" t="inlineStr">
        <is>
          <t>MİNİK B KIZLAR</t>
        </is>
      </c>
      <c r="B204" s="72" t="inlineStr">
        <is>
          <t>Grup 8</t>
        </is>
      </c>
      <c r="C204" s="69" t="n">
        <v>7</v>
      </c>
      <c r="D204" s="70" t="n"/>
      <c r="E204" s="70" t="n"/>
      <c r="F204" s="70" t="n"/>
      <c r="G204" s="71" t="n"/>
      <c r="H204" s="70" t="n"/>
    </row>
    <row r="205" ht="17" customHeight="1">
      <c r="A205" s="67" t="inlineStr">
        <is>
          <t>MİNİK B KIZLAR</t>
        </is>
      </c>
      <c r="B205" s="72" t="inlineStr">
        <is>
          <t>Grup 8</t>
        </is>
      </c>
      <c r="C205" s="69" t="n">
        <v>8</v>
      </c>
      <c r="D205" s="70" t="n"/>
      <c r="E205" s="70" t="n"/>
      <c r="F205" s="70" t="n"/>
      <c r="G205" s="71" t="n"/>
      <c r="H205" s="70" t="n"/>
    </row>
    <row r="208" ht="22" customHeight="1">
      <c r="A208" s="54" t="inlineStr">
        <is>
          <t>MİNİK B ERKEKLER</t>
        </is>
      </c>
    </row>
    <row r="209" ht="20" customHeight="1">
      <c r="A209" s="62" t="inlineStr">
        <is>
          <t>KATEGORİ</t>
        </is>
      </c>
      <c r="B209" s="62" t="inlineStr">
        <is>
          <t>GRUP</t>
        </is>
      </c>
      <c r="C209" s="62" t="inlineStr">
        <is>
          <t>SIRA</t>
        </is>
      </c>
      <c r="D209" s="62" t="inlineStr">
        <is>
          <t>AD</t>
        </is>
      </c>
      <c r="E209" s="62" t="inlineStr">
        <is>
          <t>SOYAD</t>
        </is>
      </c>
      <c r="F209" s="62" t="inlineStr">
        <is>
          <t>OKUL / KULÜP</t>
        </is>
      </c>
      <c r="G209" s="62" t="inlineStr">
        <is>
          <t>TÜR</t>
        </is>
      </c>
      <c r="H209" s="62" t="inlineStr">
        <is>
          <t>ANTRENÖR / ÖĞR.</t>
        </is>
      </c>
    </row>
    <row r="210" ht="17" customHeight="1">
      <c r="A210" s="63" t="inlineStr">
        <is>
          <t>MİNİK B ERKEKLER</t>
        </is>
      </c>
      <c r="B210" s="64" t="inlineStr">
        <is>
          <t>Grup 1</t>
        </is>
      </c>
      <c r="C210" s="65" t="n">
        <v>1</v>
      </c>
      <c r="D210" s="30" t="n"/>
      <c r="E210" s="30" t="n"/>
      <c r="F210" s="30" t="n"/>
      <c r="G210" s="32" t="n"/>
      <c r="H210" s="30" t="n"/>
    </row>
    <row r="211" ht="17" customHeight="1">
      <c r="A211" s="63" t="inlineStr">
        <is>
          <t>MİNİK B ERKEKLER</t>
        </is>
      </c>
      <c r="B211" s="66" t="inlineStr">
        <is>
          <t>Grup 1</t>
        </is>
      </c>
      <c r="C211" s="65" t="n">
        <v>2</v>
      </c>
      <c r="D211" s="30" t="n"/>
      <c r="E211" s="30" t="n"/>
      <c r="F211" s="30" t="n"/>
      <c r="G211" s="32" t="n"/>
      <c r="H211" s="30" t="n"/>
    </row>
    <row r="212" ht="17" customHeight="1">
      <c r="A212" s="63" t="inlineStr">
        <is>
          <t>MİNİK B ERKEKLER</t>
        </is>
      </c>
      <c r="B212" s="66" t="inlineStr">
        <is>
          <t>Grup 1</t>
        </is>
      </c>
      <c r="C212" s="65" t="n">
        <v>3</v>
      </c>
      <c r="D212" s="30" t="n"/>
      <c r="E212" s="30" t="n"/>
      <c r="F212" s="30" t="n"/>
      <c r="G212" s="32" t="n"/>
      <c r="H212" s="30" t="n"/>
    </row>
    <row r="213" ht="17" customHeight="1">
      <c r="A213" s="63" t="inlineStr">
        <is>
          <t>MİNİK B ERKEKLER</t>
        </is>
      </c>
      <c r="B213" s="66" t="inlineStr">
        <is>
          <t>Grup 1</t>
        </is>
      </c>
      <c r="C213" s="65" t="n">
        <v>4</v>
      </c>
      <c r="D213" s="30" t="n"/>
      <c r="E213" s="30" t="n"/>
      <c r="F213" s="30" t="n"/>
      <c r="G213" s="32" t="n"/>
      <c r="H213" s="30" t="n"/>
    </row>
    <row r="214" ht="17" customHeight="1">
      <c r="A214" s="63" t="inlineStr">
        <is>
          <t>MİNİK B ERKEKLER</t>
        </is>
      </c>
      <c r="B214" s="66" t="inlineStr">
        <is>
          <t>Grup 1</t>
        </is>
      </c>
      <c r="C214" s="65" t="n">
        <v>5</v>
      </c>
      <c r="D214" s="30" t="n"/>
      <c r="E214" s="30" t="n"/>
      <c r="F214" s="30" t="n"/>
      <c r="G214" s="32" t="n"/>
      <c r="H214" s="30" t="n"/>
    </row>
    <row r="215" ht="17" customHeight="1">
      <c r="A215" s="63" t="inlineStr">
        <is>
          <t>MİNİK B ERKEKLER</t>
        </is>
      </c>
      <c r="B215" s="66" t="inlineStr">
        <is>
          <t>Grup 1</t>
        </is>
      </c>
      <c r="C215" s="65" t="n">
        <v>6</v>
      </c>
      <c r="D215" s="30" t="n"/>
      <c r="E215" s="30" t="n"/>
      <c r="F215" s="30" t="n"/>
      <c r="G215" s="32" t="n"/>
      <c r="H215" s="30" t="n"/>
    </row>
    <row r="216" ht="17" customHeight="1">
      <c r="A216" s="63" t="inlineStr">
        <is>
          <t>MİNİK B ERKEKLER</t>
        </is>
      </c>
      <c r="B216" s="66" t="inlineStr">
        <is>
          <t>Grup 1</t>
        </is>
      </c>
      <c r="C216" s="65" t="n">
        <v>7</v>
      </c>
      <c r="D216" s="30" t="n"/>
      <c r="E216" s="30" t="n"/>
      <c r="F216" s="30" t="n"/>
      <c r="G216" s="32" t="n"/>
      <c r="H216" s="30" t="n"/>
    </row>
    <row r="217" ht="17" customHeight="1">
      <c r="A217" s="63" t="inlineStr">
        <is>
          <t>MİNİK B ERKEKLER</t>
        </is>
      </c>
      <c r="B217" s="66" t="inlineStr">
        <is>
          <t>Grup 1</t>
        </is>
      </c>
      <c r="C217" s="65" t="n">
        <v>8</v>
      </c>
      <c r="D217" s="30" t="n"/>
      <c r="E217" s="30" t="n"/>
      <c r="F217" s="30" t="n"/>
      <c r="G217" s="32" t="n"/>
      <c r="H217" s="30" t="n"/>
    </row>
    <row r="218" ht="17" customHeight="1">
      <c r="A218" s="73" t="inlineStr">
        <is>
          <t>MİNİK B ERKEKLER</t>
        </is>
      </c>
      <c r="B218" s="74" t="inlineStr">
        <is>
          <t>Grup 2</t>
        </is>
      </c>
      <c r="C218" s="75" t="n">
        <v>1</v>
      </c>
      <c r="D218" s="76" t="n"/>
      <c r="E218" s="76" t="n"/>
      <c r="F218" s="76" t="n"/>
      <c r="G218" s="77" t="n"/>
      <c r="H218" s="76" t="n"/>
    </row>
    <row r="219" ht="17" customHeight="1">
      <c r="A219" s="73" t="inlineStr">
        <is>
          <t>MİNİK B ERKEKLER</t>
        </is>
      </c>
      <c r="B219" s="78" t="inlineStr">
        <is>
          <t>Grup 2</t>
        </is>
      </c>
      <c r="C219" s="75" t="n">
        <v>2</v>
      </c>
      <c r="D219" s="76" t="n"/>
      <c r="E219" s="76" t="n"/>
      <c r="F219" s="76" t="n"/>
      <c r="G219" s="77" t="n"/>
      <c r="H219" s="76" t="n"/>
    </row>
    <row r="220" ht="17" customHeight="1">
      <c r="A220" s="73" t="inlineStr">
        <is>
          <t>MİNİK B ERKEKLER</t>
        </is>
      </c>
      <c r="B220" s="78" t="inlineStr">
        <is>
          <t>Grup 2</t>
        </is>
      </c>
      <c r="C220" s="75" t="n">
        <v>3</v>
      </c>
      <c r="D220" s="76" t="n"/>
      <c r="E220" s="76" t="n"/>
      <c r="F220" s="76" t="n"/>
      <c r="G220" s="77" t="n"/>
      <c r="H220" s="76" t="n"/>
    </row>
    <row r="221" ht="17" customHeight="1">
      <c r="A221" s="73" t="inlineStr">
        <is>
          <t>MİNİK B ERKEKLER</t>
        </is>
      </c>
      <c r="B221" s="78" t="inlineStr">
        <is>
          <t>Grup 2</t>
        </is>
      </c>
      <c r="C221" s="75" t="n">
        <v>4</v>
      </c>
      <c r="D221" s="76" t="n"/>
      <c r="E221" s="76" t="n"/>
      <c r="F221" s="76" t="n"/>
      <c r="G221" s="77" t="n"/>
      <c r="H221" s="76" t="n"/>
    </row>
    <row r="222" ht="17" customHeight="1">
      <c r="A222" s="73" t="inlineStr">
        <is>
          <t>MİNİK B ERKEKLER</t>
        </is>
      </c>
      <c r="B222" s="78" t="inlineStr">
        <is>
          <t>Grup 2</t>
        </is>
      </c>
      <c r="C222" s="75" t="n">
        <v>5</v>
      </c>
      <c r="D222" s="76" t="n"/>
      <c r="E222" s="76" t="n"/>
      <c r="F222" s="76" t="n"/>
      <c r="G222" s="77" t="n"/>
      <c r="H222" s="76" t="n"/>
    </row>
    <row r="223" ht="17" customHeight="1">
      <c r="A223" s="73" t="inlineStr">
        <is>
          <t>MİNİK B ERKEKLER</t>
        </is>
      </c>
      <c r="B223" s="78" t="inlineStr">
        <is>
          <t>Grup 2</t>
        </is>
      </c>
      <c r="C223" s="75" t="n">
        <v>6</v>
      </c>
      <c r="D223" s="76" t="n"/>
      <c r="E223" s="76" t="n"/>
      <c r="F223" s="76" t="n"/>
      <c r="G223" s="77" t="n"/>
      <c r="H223" s="76" t="n"/>
    </row>
    <row r="224" ht="17" customHeight="1">
      <c r="A224" s="73" t="inlineStr">
        <is>
          <t>MİNİK B ERKEKLER</t>
        </is>
      </c>
      <c r="B224" s="78" t="inlineStr">
        <is>
          <t>Grup 2</t>
        </is>
      </c>
      <c r="C224" s="75" t="n">
        <v>7</v>
      </c>
      <c r="D224" s="76" t="n"/>
      <c r="E224" s="76" t="n"/>
      <c r="F224" s="76" t="n"/>
      <c r="G224" s="77" t="n"/>
      <c r="H224" s="76" t="n"/>
    </row>
    <row r="225" ht="17" customHeight="1">
      <c r="A225" s="73" t="inlineStr">
        <is>
          <t>MİNİK B ERKEKLER</t>
        </is>
      </c>
      <c r="B225" s="78" t="inlineStr">
        <is>
          <t>Grup 2</t>
        </is>
      </c>
      <c r="C225" s="75" t="n">
        <v>8</v>
      </c>
      <c r="D225" s="76" t="n"/>
      <c r="E225" s="76" t="n"/>
      <c r="F225" s="76" t="n"/>
      <c r="G225" s="77" t="n"/>
      <c r="H225" s="76" t="n"/>
    </row>
    <row r="226" ht="17" customHeight="1">
      <c r="A226" s="63" t="inlineStr">
        <is>
          <t>MİNİK B ERKEKLER</t>
        </is>
      </c>
      <c r="B226" s="64" t="inlineStr">
        <is>
          <t>Grup 3</t>
        </is>
      </c>
      <c r="C226" s="65" t="n">
        <v>1</v>
      </c>
      <c r="D226" s="30" t="n"/>
      <c r="E226" s="30" t="n"/>
      <c r="F226" s="30" t="n"/>
      <c r="G226" s="32" t="n"/>
      <c r="H226" s="30" t="n"/>
    </row>
    <row r="227" ht="17" customHeight="1">
      <c r="A227" s="63" t="inlineStr">
        <is>
          <t>MİNİK B ERKEKLER</t>
        </is>
      </c>
      <c r="B227" s="66" t="inlineStr">
        <is>
          <t>Grup 3</t>
        </is>
      </c>
      <c r="C227" s="65" t="n">
        <v>2</v>
      </c>
      <c r="D227" s="30" t="n"/>
      <c r="E227" s="30" t="n"/>
      <c r="F227" s="30" t="n"/>
      <c r="G227" s="32" t="n"/>
      <c r="H227" s="30" t="n"/>
    </row>
    <row r="228" ht="17" customHeight="1">
      <c r="A228" s="63" t="inlineStr">
        <is>
          <t>MİNİK B ERKEKLER</t>
        </is>
      </c>
      <c r="B228" s="66" t="inlineStr">
        <is>
          <t>Grup 3</t>
        </is>
      </c>
      <c r="C228" s="65" t="n">
        <v>3</v>
      </c>
      <c r="D228" s="30" t="n"/>
      <c r="E228" s="30" t="n"/>
      <c r="F228" s="30" t="n"/>
      <c r="G228" s="32" t="n"/>
      <c r="H228" s="30" t="n"/>
    </row>
    <row r="229" ht="17" customHeight="1">
      <c r="A229" s="63" t="inlineStr">
        <is>
          <t>MİNİK B ERKEKLER</t>
        </is>
      </c>
      <c r="B229" s="66" t="inlineStr">
        <is>
          <t>Grup 3</t>
        </is>
      </c>
      <c r="C229" s="65" t="n">
        <v>4</v>
      </c>
      <c r="D229" s="30" t="n"/>
      <c r="E229" s="30" t="n"/>
      <c r="F229" s="30" t="n"/>
      <c r="G229" s="32" t="n"/>
      <c r="H229" s="30" t="n"/>
    </row>
    <row r="230" ht="17" customHeight="1">
      <c r="A230" s="63" t="inlineStr">
        <is>
          <t>MİNİK B ERKEKLER</t>
        </is>
      </c>
      <c r="B230" s="66" t="inlineStr">
        <is>
          <t>Grup 3</t>
        </is>
      </c>
      <c r="C230" s="65" t="n">
        <v>5</v>
      </c>
      <c r="D230" s="30" t="n"/>
      <c r="E230" s="30" t="n"/>
      <c r="F230" s="30" t="n"/>
      <c r="G230" s="32" t="n"/>
      <c r="H230" s="30" t="n"/>
    </row>
    <row r="231" ht="17" customHeight="1">
      <c r="A231" s="63" t="inlineStr">
        <is>
          <t>MİNİK B ERKEKLER</t>
        </is>
      </c>
      <c r="B231" s="66" t="inlineStr">
        <is>
          <t>Grup 3</t>
        </is>
      </c>
      <c r="C231" s="65" t="n">
        <v>6</v>
      </c>
      <c r="D231" s="30" t="n"/>
      <c r="E231" s="30" t="n"/>
      <c r="F231" s="30" t="n"/>
      <c r="G231" s="32" t="n"/>
      <c r="H231" s="30" t="n"/>
    </row>
    <row r="232" ht="17" customHeight="1">
      <c r="A232" s="63" t="inlineStr">
        <is>
          <t>MİNİK B ERKEKLER</t>
        </is>
      </c>
      <c r="B232" s="66" t="inlineStr">
        <is>
          <t>Grup 3</t>
        </is>
      </c>
      <c r="C232" s="65" t="n">
        <v>7</v>
      </c>
      <c r="D232" s="30" t="n"/>
      <c r="E232" s="30" t="n"/>
      <c r="F232" s="30" t="n"/>
      <c r="G232" s="32" t="n"/>
      <c r="H232" s="30" t="n"/>
    </row>
    <row r="233" ht="17" customHeight="1">
      <c r="A233" s="63" t="inlineStr">
        <is>
          <t>MİNİK B ERKEKLER</t>
        </is>
      </c>
      <c r="B233" s="66" t="inlineStr">
        <is>
          <t>Grup 3</t>
        </is>
      </c>
      <c r="C233" s="65" t="n">
        <v>8</v>
      </c>
      <c r="D233" s="30" t="n"/>
      <c r="E233" s="30" t="n"/>
      <c r="F233" s="30" t="n"/>
      <c r="G233" s="32" t="n"/>
      <c r="H233" s="30" t="n"/>
    </row>
    <row r="234" ht="17" customHeight="1">
      <c r="A234" s="73" t="inlineStr">
        <is>
          <t>MİNİK B ERKEKLER</t>
        </is>
      </c>
      <c r="B234" s="74" t="inlineStr">
        <is>
          <t>Grup 4</t>
        </is>
      </c>
      <c r="C234" s="75" t="n">
        <v>1</v>
      </c>
      <c r="D234" s="76" t="n"/>
      <c r="E234" s="76" t="n"/>
      <c r="F234" s="76" t="n"/>
      <c r="G234" s="77" t="n"/>
      <c r="H234" s="76" t="n"/>
    </row>
    <row r="235" ht="17" customHeight="1">
      <c r="A235" s="73" t="inlineStr">
        <is>
          <t>MİNİK B ERKEKLER</t>
        </is>
      </c>
      <c r="B235" s="78" t="inlineStr">
        <is>
          <t>Grup 4</t>
        </is>
      </c>
      <c r="C235" s="75" t="n">
        <v>2</v>
      </c>
      <c r="D235" s="76" t="n"/>
      <c r="E235" s="76" t="n"/>
      <c r="F235" s="76" t="n"/>
      <c r="G235" s="77" t="n"/>
      <c r="H235" s="76" t="n"/>
    </row>
    <row r="236" ht="17" customHeight="1">
      <c r="A236" s="73" t="inlineStr">
        <is>
          <t>MİNİK B ERKEKLER</t>
        </is>
      </c>
      <c r="B236" s="78" t="inlineStr">
        <is>
          <t>Grup 4</t>
        </is>
      </c>
      <c r="C236" s="75" t="n">
        <v>3</v>
      </c>
      <c r="D236" s="76" t="n"/>
      <c r="E236" s="76" t="n"/>
      <c r="F236" s="76" t="n"/>
      <c r="G236" s="77" t="n"/>
      <c r="H236" s="76" t="n"/>
    </row>
    <row r="237" ht="17" customHeight="1">
      <c r="A237" s="73" t="inlineStr">
        <is>
          <t>MİNİK B ERKEKLER</t>
        </is>
      </c>
      <c r="B237" s="78" t="inlineStr">
        <is>
          <t>Grup 4</t>
        </is>
      </c>
      <c r="C237" s="75" t="n">
        <v>4</v>
      </c>
      <c r="D237" s="76" t="n"/>
      <c r="E237" s="76" t="n"/>
      <c r="F237" s="76" t="n"/>
      <c r="G237" s="77" t="n"/>
      <c r="H237" s="76" t="n"/>
    </row>
    <row r="238" ht="17" customHeight="1">
      <c r="A238" s="73" t="inlineStr">
        <is>
          <t>MİNİK B ERKEKLER</t>
        </is>
      </c>
      <c r="B238" s="78" t="inlineStr">
        <is>
          <t>Grup 4</t>
        </is>
      </c>
      <c r="C238" s="75" t="n">
        <v>5</v>
      </c>
      <c r="D238" s="76" t="n"/>
      <c r="E238" s="76" t="n"/>
      <c r="F238" s="76" t="n"/>
      <c r="G238" s="77" t="n"/>
      <c r="H238" s="76" t="n"/>
    </row>
    <row r="239" ht="17" customHeight="1">
      <c r="A239" s="73" t="inlineStr">
        <is>
          <t>MİNİK B ERKEKLER</t>
        </is>
      </c>
      <c r="B239" s="78" t="inlineStr">
        <is>
          <t>Grup 4</t>
        </is>
      </c>
      <c r="C239" s="75" t="n">
        <v>6</v>
      </c>
      <c r="D239" s="76" t="n"/>
      <c r="E239" s="76" t="n"/>
      <c r="F239" s="76" t="n"/>
      <c r="G239" s="77" t="n"/>
      <c r="H239" s="76" t="n"/>
    </row>
    <row r="240" ht="17" customHeight="1">
      <c r="A240" s="73" t="inlineStr">
        <is>
          <t>MİNİK B ERKEKLER</t>
        </is>
      </c>
      <c r="B240" s="78" t="inlineStr">
        <is>
          <t>Grup 4</t>
        </is>
      </c>
      <c r="C240" s="75" t="n">
        <v>7</v>
      </c>
      <c r="D240" s="76" t="n"/>
      <c r="E240" s="76" t="n"/>
      <c r="F240" s="76" t="n"/>
      <c r="G240" s="77" t="n"/>
      <c r="H240" s="76" t="n"/>
    </row>
    <row r="241" ht="17" customHeight="1">
      <c r="A241" s="73" t="inlineStr">
        <is>
          <t>MİNİK B ERKEKLER</t>
        </is>
      </c>
      <c r="B241" s="78" t="inlineStr">
        <is>
          <t>Grup 4</t>
        </is>
      </c>
      <c r="C241" s="75" t="n">
        <v>8</v>
      </c>
      <c r="D241" s="76" t="n"/>
      <c r="E241" s="76" t="n"/>
      <c r="F241" s="76" t="n"/>
      <c r="G241" s="77" t="n"/>
      <c r="H241" s="76" t="n"/>
    </row>
    <row r="242" ht="17" customHeight="1">
      <c r="A242" s="63" t="inlineStr">
        <is>
          <t>MİNİK B ERKEKLER</t>
        </is>
      </c>
      <c r="B242" s="64" t="inlineStr">
        <is>
          <t>Grup 5</t>
        </is>
      </c>
      <c r="C242" s="65" t="n">
        <v>1</v>
      </c>
      <c r="D242" s="30" t="n"/>
      <c r="E242" s="30" t="n"/>
      <c r="F242" s="30" t="n"/>
      <c r="G242" s="32" t="n"/>
      <c r="H242" s="30" t="n"/>
    </row>
    <row r="243" ht="17" customHeight="1">
      <c r="A243" s="63" t="inlineStr">
        <is>
          <t>MİNİK B ERKEKLER</t>
        </is>
      </c>
      <c r="B243" s="66" t="inlineStr">
        <is>
          <t>Grup 5</t>
        </is>
      </c>
      <c r="C243" s="65" t="n">
        <v>2</v>
      </c>
      <c r="D243" s="30" t="n"/>
      <c r="E243" s="30" t="n"/>
      <c r="F243" s="30" t="n"/>
      <c r="G243" s="32" t="n"/>
      <c r="H243" s="30" t="n"/>
    </row>
    <row r="244" ht="17" customHeight="1">
      <c r="A244" s="63" t="inlineStr">
        <is>
          <t>MİNİK B ERKEKLER</t>
        </is>
      </c>
      <c r="B244" s="66" t="inlineStr">
        <is>
          <t>Grup 5</t>
        </is>
      </c>
      <c r="C244" s="65" t="n">
        <v>3</v>
      </c>
      <c r="D244" s="30" t="n"/>
      <c r="E244" s="30" t="n"/>
      <c r="F244" s="30" t="n"/>
      <c r="G244" s="32" t="n"/>
      <c r="H244" s="30" t="n"/>
    </row>
    <row r="245" ht="17" customHeight="1">
      <c r="A245" s="63" t="inlineStr">
        <is>
          <t>MİNİK B ERKEKLER</t>
        </is>
      </c>
      <c r="B245" s="66" t="inlineStr">
        <is>
          <t>Grup 5</t>
        </is>
      </c>
      <c r="C245" s="65" t="n">
        <v>4</v>
      </c>
      <c r="D245" s="30" t="n"/>
      <c r="E245" s="30" t="n"/>
      <c r="F245" s="30" t="n"/>
      <c r="G245" s="32" t="n"/>
      <c r="H245" s="30" t="n"/>
    </row>
    <row r="246" ht="17" customHeight="1">
      <c r="A246" s="63" t="inlineStr">
        <is>
          <t>MİNİK B ERKEKLER</t>
        </is>
      </c>
      <c r="B246" s="66" t="inlineStr">
        <is>
          <t>Grup 5</t>
        </is>
      </c>
      <c r="C246" s="65" t="n">
        <v>5</v>
      </c>
      <c r="D246" s="30" t="n"/>
      <c r="E246" s="30" t="n"/>
      <c r="F246" s="30" t="n"/>
      <c r="G246" s="32" t="n"/>
      <c r="H246" s="30" t="n"/>
    </row>
    <row r="247" ht="17" customHeight="1">
      <c r="A247" s="63" t="inlineStr">
        <is>
          <t>MİNİK B ERKEKLER</t>
        </is>
      </c>
      <c r="B247" s="66" t="inlineStr">
        <is>
          <t>Grup 5</t>
        </is>
      </c>
      <c r="C247" s="65" t="n">
        <v>6</v>
      </c>
      <c r="D247" s="30" t="n"/>
      <c r="E247" s="30" t="n"/>
      <c r="F247" s="30" t="n"/>
      <c r="G247" s="32" t="n"/>
      <c r="H247" s="30" t="n"/>
    </row>
    <row r="248" ht="17" customHeight="1">
      <c r="A248" s="63" t="inlineStr">
        <is>
          <t>MİNİK B ERKEKLER</t>
        </is>
      </c>
      <c r="B248" s="66" t="inlineStr">
        <is>
          <t>Grup 5</t>
        </is>
      </c>
      <c r="C248" s="65" t="n">
        <v>7</v>
      </c>
      <c r="D248" s="30" t="n"/>
      <c r="E248" s="30" t="n"/>
      <c r="F248" s="30" t="n"/>
      <c r="G248" s="32" t="n"/>
      <c r="H248" s="30" t="n"/>
    </row>
    <row r="249" ht="17" customHeight="1">
      <c r="A249" s="63" t="inlineStr">
        <is>
          <t>MİNİK B ERKEKLER</t>
        </is>
      </c>
      <c r="B249" s="66" t="inlineStr">
        <is>
          <t>Grup 5</t>
        </is>
      </c>
      <c r="C249" s="65" t="n">
        <v>8</v>
      </c>
      <c r="D249" s="30" t="n"/>
      <c r="E249" s="30" t="n"/>
      <c r="F249" s="30" t="n"/>
      <c r="G249" s="32" t="n"/>
      <c r="H249" s="30" t="n"/>
    </row>
    <row r="250" ht="17" customHeight="1">
      <c r="A250" s="73" t="inlineStr">
        <is>
          <t>MİNİK B ERKEKLER</t>
        </is>
      </c>
      <c r="B250" s="74" t="inlineStr">
        <is>
          <t>Grup 6</t>
        </is>
      </c>
      <c r="C250" s="75" t="n">
        <v>1</v>
      </c>
      <c r="D250" s="76" t="n"/>
      <c r="E250" s="76" t="n"/>
      <c r="F250" s="76" t="n"/>
      <c r="G250" s="77" t="n"/>
      <c r="H250" s="76" t="n"/>
    </row>
    <row r="251" ht="17" customHeight="1">
      <c r="A251" s="73" t="inlineStr">
        <is>
          <t>MİNİK B ERKEKLER</t>
        </is>
      </c>
      <c r="B251" s="78" t="inlineStr">
        <is>
          <t>Grup 6</t>
        </is>
      </c>
      <c r="C251" s="75" t="n">
        <v>2</v>
      </c>
      <c r="D251" s="76" t="n"/>
      <c r="E251" s="76" t="n"/>
      <c r="F251" s="76" t="n"/>
      <c r="G251" s="77" t="n"/>
      <c r="H251" s="76" t="n"/>
    </row>
    <row r="252" ht="17" customHeight="1">
      <c r="A252" s="73" t="inlineStr">
        <is>
          <t>MİNİK B ERKEKLER</t>
        </is>
      </c>
      <c r="B252" s="78" t="inlineStr">
        <is>
          <t>Grup 6</t>
        </is>
      </c>
      <c r="C252" s="75" t="n">
        <v>3</v>
      </c>
      <c r="D252" s="76" t="n"/>
      <c r="E252" s="76" t="n"/>
      <c r="F252" s="76" t="n"/>
      <c r="G252" s="77" t="n"/>
      <c r="H252" s="76" t="n"/>
    </row>
    <row r="253" ht="17" customHeight="1">
      <c r="A253" s="73" t="inlineStr">
        <is>
          <t>MİNİK B ERKEKLER</t>
        </is>
      </c>
      <c r="B253" s="78" t="inlineStr">
        <is>
          <t>Grup 6</t>
        </is>
      </c>
      <c r="C253" s="75" t="n">
        <v>4</v>
      </c>
      <c r="D253" s="76" t="n"/>
      <c r="E253" s="76" t="n"/>
      <c r="F253" s="76" t="n"/>
      <c r="G253" s="77" t="n"/>
      <c r="H253" s="76" t="n"/>
    </row>
    <row r="254" ht="17" customHeight="1">
      <c r="A254" s="73" t="inlineStr">
        <is>
          <t>MİNİK B ERKEKLER</t>
        </is>
      </c>
      <c r="B254" s="78" t="inlineStr">
        <is>
          <t>Grup 6</t>
        </is>
      </c>
      <c r="C254" s="75" t="n">
        <v>5</v>
      </c>
      <c r="D254" s="76" t="n"/>
      <c r="E254" s="76" t="n"/>
      <c r="F254" s="76" t="n"/>
      <c r="G254" s="77" t="n"/>
      <c r="H254" s="76" t="n"/>
    </row>
    <row r="255" ht="17" customHeight="1">
      <c r="A255" s="73" t="inlineStr">
        <is>
          <t>MİNİK B ERKEKLER</t>
        </is>
      </c>
      <c r="B255" s="78" t="inlineStr">
        <is>
          <t>Grup 6</t>
        </is>
      </c>
      <c r="C255" s="75" t="n">
        <v>6</v>
      </c>
      <c r="D255" s="76" t="n"/>
      <c r="E255" s="76" t="n"/>
      <c r="F255" s="76" t="n"/>
      <c r="G255" s="77" t="n"/>
      <c r="H255" s="76" t="n"/>
    </row>
    <row r="256" ht="17" customHeight="1">
      <c r="A256" s="73" t="inlineStr">
        <is>
          <t>MİNİK B ERKEKLER</t>
        </is>
      </c>
      <c r="B256" s="78" t="inlineStr">
        <is>
          <t>Grup 6</t>
        </is>
      </c>
      <c r="C256" s="75" t="n">
        <v>7</v>
      </c>
      <c r="D256" s="76" t="n"/>
      <c r="E256" s="76" t="n"/>
      <c r="F256" s="76" t="n"/>
      <c r="G256" s="77" t="n"/>
      <c r="H256" s="76" t="n"/>
    </row>
    <row r="257" ht="17" customHeight="1">
      <c r="A257" s="73" t="inlineStr">
        <is>
          <t>MİNİK B ERKEKLER</t>
        </is>
      </c>
      <c r="B257" s="78" t="inlineStr">
        <is>
          <t>Grup 6</t>
        </is>
      </c>
      <c r="C257" s="75" t="n">
        <v>8</v>
      </c>
      <c r="D257" s="76" t="n"/>
      <c r="E257" s="76" t="n"/>
      <c r="F257" s="76" t="n"/>
      <c r="G257" s="77" t="n"/>
      <c r="H257" s="76" t="n"/>
    </row>
    <row r="258" ht="17" customHeight="1">
      <c r="A258" s="63" t="inlineStr">
        <is>
          <t>MİNİK B ERKEKLER</t>
        </is>
      </c>
      <c r="B258" s="64" t="inlineStr">
        <is>
          <t>Grup 7</t>
        </is>
      </c>
      <c r="C258" s="65" t="n">
        <v>1</v>
      </c>
      <c r="D258" s="30" t="n"/>
      <c r="E258" s="30" t="n"/>
      <c r="F258" s="30" t="n"/>
      <c r="G258" s="32" t="n"/>
      <c r="H258" s="30" t="n"/>
    </row>
    <row r="259" ht="17" customHeight="1">
      <c r="A259" s="63" t="inlineStr">
        <is>
          <t>MİNİK B ERKEKLER</t>
        </is>
      </c>
      <c r="B259" s="66" t="inlineStr">
        <is>
          <t>Grup 7</t>
        </is>
      </c>
      <c r="C259" s="65" t="n">
        <v>2</v>
      </c>
      <c r="D259" s="30" t="n"/>
      <c r="E259" s="30" t="n"/>
      <c r="F259" s="30" t="n"/>
      <c r="G259" s="32" t="n"/>
      <c r="H259" s="30" t="n"/>
    </row>
    <row r="260" ht="17" customHeight="1">
      <c r="A260" s="63" t="inlineStr">
        <is>
          <t>MİNİK B ERKEKLER</t>
        </is>
      </c>
      <c r="B260" s="66" t="inlineStr">
        <is>
          <t>Grup 7</t>
        </is>
      </c>
      <c r="C260" s="65" t="n">
        <v>3</v>
      </c>
      <c r="D260" s="30" t="n"/>
      <c r="E260" s="30" t="n"/>
      <c r="F260" s="30" t="n"/>
      <c r="G260" s="32" t="n"/>
      <c r="H260" s="30" t="n"/>
    </row>
    <row r="261" ht="17" customHeight="1">
      <c r="A261" s="63" t="inlineStr">
        <is>
          <t>MİNİK B ERKEKLER</t>
        </is>
      </c>
      <c r="B261" s="66" t="inlineStr">
        <is>
          <t>Grup 7</t>
        </is>
      </c>
      <c r="C261" s="65" t="n">
        <v>4</v>
      </c>
      <c r="D261" s="30" t="n"/>
      <c r="E261" s="30" t="n"/>
      <c r="F261" s="30" t="n"/>
      <c r="G261" s="32" t="n"/>
      <c r="H261" s="30" t="n"/>
    </row>
    <row r="262" ht="17" customHeight="1">
      <c r="A262" s="63" t="inlineStr">
        <is>
          <t>MİNİK B ERKEKLER</t>
        </is>
      </c>
      <c r="B262" s="66" t="inlineStr">
        <is>
          <t>Grup 7</t>
        </is>
      </c>
      <c r="C262" s="65" t="n">
        <v>5</v>
      </c>
      <c r="D262" s="30" t="n"/>
      <c r="E262" s="30" t="n"/>
      <c r="F262" s="30" t="n"/>
      <c r="G262" s="32" t="n"/>
      <c r="H262" s="30" t="n"/>
    </row>
    <row r="263" ht="17" customHeight="1">
      <c r="A263" s="63" t="inlineStr">
        <is>
          <t>MİNİK B ERKEKLER</t>
        </is>
      </c>
      <c r="B263" s="66" t="inlineStr">
        <is>
          <t>Grup 7</t>
        </is>
      </c>
      <c r="C263" s="65" t="n">
        <v>6</v>
      </c>
      <c r="D263" s="30" t="n"/>
      <c r="E263" s="30" t="n"/>
      <c r="F263" s="30" t="n"/>
      <c r="G263" s="32" t="n"/>
      <c r="H263" s="30" t="n"/>
    </row>
    <row r="264" ht="17" customHeight="1">
      <c r="A264" s="63" t="inlineStr">
        <is>
          <t>MİNİK B ERKEKLER</t>
        </is>
      </c>
      <c r="B264" s="66" t="inlineStr">
        <is>
          <t>Grup 7</t>
        </is>
      </c>
      <c r="C264" s="65" t="n">
        <v>7</v>
      </c>
      <c r="D264" s="30" t="n"/>
      <c r="E264" s="30" t="n"/>
      <c r="F264" s="30" t="n"/>
      <c r="G264" s="32" t="n"/>
      <c r="H264" s="30" t="n"/>
    </row>
    <row r="265" ht="17" customHeight="1">
      <c r="A265" s="63" t="inlineStr">
        <is>
          <t>MİNİK B ERKEKLER</t>
        </is>
      </c>
      <c r="B265" s="66" t="inlineStr">
        <is>
          <t>Grup 7</t>
        </is>
      </c>
      <c r="C265" s="65" t="n">
        <v>8</v>
      </c>
      <c r="D265" s="30" t="n"/>
      <c r="E265" s="30" t="n"/>
      <c r="F265" s="30" t="n"/>
      <c r="G265" s="32" t="n"/>
      <c r="H265" s="30" t="n"/>
    </row>
    <row r="266" ht="17" customHeight="1">
      <c r="A266" s="73" t="inlineStr">
        <is>
          <t>MİNİK B ERKEKLER</t>
        </is>
      </c>
      <c r="B266" s="74" t="inlineStr">
        <is>
          <t>Grup 8</t>
        </is>
      </c>
      <c r="C266" s="75" t="n">
        <v>1</v>
      </c>
      <c r="D266" s="76" t="n"/>
      <c r="E266" s="76" t="n"/>
      <c r="F266" s="76" t="n"/>
      <c r="G266" s="77" t="n"/>
      <c r="H266" s="76" t="n"/>
    </row>
    <row r="267" ht="17" customHeight="1">
      <c r="A267" s="73" t="inlineStr">
        <is>
          <t>MİNİK B ERKEKLER</t>
        </is>
      </c>
      <c r="B267" s="78" t="inlineStr">
        <is>
          <t>Grup 8</t>
        </is>
      </c>
      <c r="C267" s="75" t="n">
        <v>2</v>
      </c>
      <c r="D267" s="76" t="n"/>
      <c r="E267" s="76" t="n"/>
      <c r="F267" s="76" t="n"/>
      <c r="G267" s="77" t="n"/>
      <c r="H267" s="76" t="n"/>
    </row>
    <row r="268" ht="17" customHeight="1">
      <c r="A268" s="73" t="inlineStr">
        <is>
          <t>MİNİK B ERKEKLER</t>
        </is>
      </c>
      <c r="B268" s="78" t="inlineStr">
        <is>
          <t>Grup 8</t>
        </is>
      </c>
      <c r="C268" s="75" t="n">
        <v>3</v>
      </c>
      <c r="D268" s="76" t="n"/>
      <c r="E268" s="76" t="n"/>
      <c r="F268" s="76" t="n"/>
      <c r="G268" s="77" t="n"/>
      <c r="H268" s="76" t="n"/>
    </row>
    <row r="269" ht="17" customHeight="1">
      <c r="A269" s="73" t="inlineStr">
        <is>
          <t>MİNİK B ERKEKLER</t>
        </is>
      </c>
      <c r="B269" s="78" t="inlineStr">
        <is>
          <t>Grup 8</t>
        </is>
      </c>
      <c r="C269" s="75" t="n">
        <v>4</v>
      </c>
      <c r="D269" s="76" t="n"/>
      <c r="E269" s="76" t="n"/>
      <c r="F269" s="76" t="n"/>
      <c r="G269" s="77" t="n"/>
      <c r="H269" s="76" t="n"/>
    </row>
    <row r="270" ht="17" customHeight="1">
      <c r="A270" s="73" t="inlineStr">
        <is>
          <t>MİNİK B ERKEKLER</t>
        </is>
      </c>
      <c r="B270" s="78" t="inlineStr">
        <is>
          <t>Grup 8</t>
        </is>
      </c>
      <c r="C270" s="75" t="n">
        <v>5</v>
      </c>
      <c r="D270" s="76" t="n"/>
      <c r="E270" s="76" t="n"/>
      <c r="F270" s="76" t="n"/>
      <c r="G270" s="77" t="n"/>
      <c r="H270" s="76" t="n"/>
    </row>
    <row r="271" ht="17" customHeight="1">
      <c r="A271" s="73" t="inlineStr">
        <is>
          <t>MİNİK B ERKEKLER</t>
        </is>
      </c>
      <c r="B271" s="78" t="inlineStr">
        <is>
          <t>Grup 8</t>
        </is>
      </c>
      <c r="C271" s="75" t="n">
        <v>6</v>
      </c>
      <c r="D271" s="76" t="n"/>
      <c r="E271" s="76" t="n"/>
      <c r="F271" s="76" t="n"/>
      <c r="G271" s="77" t="n"/>
      <c r="H271" s="76" t="n"/>
    </row>
    <row r="272" ht="17" customHeight="1">
      <c r="A272" s="73" t="inlineStr">
        <is>
          <t>MİNİK B ERKEKLER</t>
        </is>
      </c>
      <c r="B272" s="78" t="inlineStr">
        <is>
          <t>Grup 8</t>
        </is>
      </c>
      <c r="C272" s="75" t="n">
        <v>7</v>
      </c>
      <c r="D272" s="76" t="n"/>
      <c r="E272" s="76" t="n"/>
      <c r="F272" s="76" t="n"/>
      <c r="G272" s="77" t="n"/>
      <c r="H272" s="76" t="n"/>
    </row>
    <row r="273" ht="17" customHeight="1">
      <c r="A273" s="73" t="inlineStr">
        <is>
          <t>MİNİK B ERKEKLER</t>
        </is>
      </c>
      <c r="B273" s="78" t="inlineStr">
        <is>
          <t>Grup 8</t>
        </is>
      </c>
      <c r="C273" s="75" t="n">
        <v>8</v>
      </c>
      <c r="D273" s="76" t="n"/>
      <c r="E273" s="76" t="n"/>
      <c r="F273" s="76" t="n"/>
      <c r="G273" s="77" t="n"/>
      <c r="H273" s="76" t="n"/>
    </row>
    <row r="276" ht="22" customHeight="1">
      <c r="A276" s="49" t="inlineStr">
        <is>
          <t>KÜÇÜK KIZLAR</t>
        </is>
      </c>
    </row>
    <row r="277" ht="20" customHeight="1">
      <c r="A277" s="62" t="inlineStr">
        <is>
          <t>KATEGORİ</t>
        </is>
      </c>
      <c r="B277" s="62" t="inlineStr">
        <is>
          <t>GRUP</t>
        </is>
      </c>
      <c r="C277" s="62" t="inlineStr">
        <is>
          <t>SIRA</t>
        </is>
      </c>
      <c r="D277" s="62" t="inlineStr">
        <is>
          <t>AD</t>
        </is>
      </c>
      <c r="E277" s="62" t="inlineStr">
        <is>
          <t>SOYAD</t>
        </is>
      </c>
      <c r="F277" s="62" t="inlineStr">
        <is>
          <t>OKUL / KULÜP</t>
        </is>
      </c>
      <c r="G277" s="62" t="inlineStr">
        <is>
          <t>TÜR</t>
        </is>
      </c>
      <c r="H277" s="62" t="inlineStr">
        <is>
          <t>ANTRENÖR / ÖĞR.</t>
        </is>
      </c>
    </row>
    <row r="278" ht="17" customHeight="1">
      <c r="A278" s="63" t="inlineStr">
        <is>
          <t>KÜÇÜK KIZLAR</t>
        </is>
      </c>
      <c r="B278" s="64" t="inlineStr">
        <is>
          <t>Grup 1</t>
        </is>
      </c>
      <c r="C278" s="65" t="n">
        <v>1</v>
      </c>
      <c r="D278" s="30" t="n"/>
      <c r="E278" s="30" t="n"/>
      <c r="F278" s="30" t="n"/>
      <c r="G278" s="32" t="n"/>
      <c r="H278" s="30" t="n"/>
    </row>
    <row r="279" ht="17" customHeight="1">
      <c r="A279" s="63" t="inlineStr">
        <is>
          <t>KÜÇÜK KIZLAR</t>
        </is>
      </c>
      <c r="B279" s="66" t="inlineStr">
        <is>
          <t>Grup 1</t>
        </is>
      </c>
      <c r="C279" s="65" t="n">
        <v>2</v>
      </c>
      <c r="D279" s="30" t="n"/>
      <c r="E279" s="30" t="n"/>
      <c r="F279" s="30" t="n"/>
      <c r="G279" s="32" t="n"/>
      <c r="H279" s="30" t="n"/>
    </row>
    <row r="280" ht="17" customHeight="1">
      <c r="A280" s="63" t="inlineStr">
        <is>
          <t>KÜÇÜK KIZLAR</t>
        </is>
      </c>
      <c r="B280" s="66" t="inlineStr">
        <is>
          <t>Grup 1</t>
        </is>
      </c>
      <c r="C280" s="65" t="n">
        <v>3</v>
      </c>
      <c r="D280" s="30" t="n"/>
      <c r="E280" s="30" t="n"/>
      <c r="F280" s="30" t="n"/>
      <c r="G280" s="32" t="n"/>
      <c r="H280" s="30" t="n"/>
    </row>
    <row r="281" ht="17" customHeight="1">
      <c r="A281" s="63" t="inlineStr">
        <is>
          <t>KÜÇÜK KIZLAR</t>
        </is>
      </c>
      <c r="B281" s="66" t="inlineStr">
        <is>
          <t>Grup 1</t>
        </is>
      </c>
      <c r="C281" s="65" t="n">
        <v>4</v>
      </c>
      <c r="D281" s="30" t="n"/>
      <c r="E281" s="30" t="n"/>
      <c r="F281" s="30" t="n"/>
      <c r="G281" s="32" t="n"/>
      <c r="H281" s="30" t="n"/>
    </row>
    <row r="282" ht="17" customHeight="1">
      <c r="A282" s="63" t="inlineStr">
        <is>
          <t>KÜÇÜK KIZLAR</t>
        </is>
      </c>
      <c r="B282" s="66" t="inlineStr">
        <is>
          <t>Grup 1</t>
        </is>
      </c>
      <c r="C282" s="65" t="n">
        <v>5</v>
      </c>
      <c r="D282" s="30" t="n"/>
      <c r="E282" s="30" t="n"/>
      <c r="F282" s="30" t="n"/>
      <c r="G282" s="32" t="n"/>
      <c r="H282" s="30" t="n"/>
    </row>
    <row r="283" ht="17" customHeight="1">
      <c r="A283" s="63" t="inlineStr">
        <is>
          <t>KÜÇÜK KIZLAR</t>
        </is>
      </c>
      <c r="B283" s="66" t="inlineStr">
        <is>
          <t>Grup 1</t>
        </is>
      </c>
      <c r="C283" s="65" t="n">
        <v>6</v>
      </c>
      <c r="D283" s="30" t="n"/>
      <c r="E283" s="30" t="n"/>
      <c r="F283" s="30" t="n"/>
      <c r="G283" s="32" t="n"/>
      <c r="H283" s="30" t="n"/>
    </row>
    <row r="284" ht="17" customHeight="1">
      <c r="A284" s="63" t="inlineStr">
        <is>
          <t>KÜÇÜK KIZLAR</t>
        </is>
      </c>
      <c r="B284" s="66" t="inlineStr">
        <is>
          <t>Grup 1</t>
        </is>
      </c>
      <c r="C284" s="65" t="n">
        <v>7</v>
      </c>
      <c r="D284" s="30" t="n"/>
      <c r="E284" s="30" t="n"/>
      <c r="F284" s="30" t="n"/>
      <c r="G284" s="32" t="n"/>
      <c r="H284" s="30" t="n"/>
    </row>
    <row r="285" ht="17" customHeight="1">
      <c r="A285" s="63" t="inlineStr">
        <is>
          <t>KÜÇÜK KIZLAR</t>
        </is>
      </c>
      <c r="B285" s="66" t="inlineStr">
        <is>
          <t>Grup 1</t>
        </is>
      </c>
      <c r="C285" s="65" t="n">
        <v>8</v>
      </c>
      <c r="D285" s="30" t="n"/>
      <c r="E285" s="30" t="n"/>
      <c r="F285" s="30" t="n"/>
      <c r="G285" s="32" t="n"/>
      <c r="H285" s="30" t="n"/>
    </row>
    <row r="286" ht="17" customHeight="1">
      <c r="A286" s="67" t="inlineStr">
        <is>
          <t>KÜÇÜK KIZLAR</t>
        </is>
      </c>
      <c r="B286" s="68" t="inlineStr">
        <is>
          <t>Grup 2</t>
        </is>
      </c>
      <c r="C286" s="69" t="n">
        <v>1</v>
      </c>
      <c r="D286" s="70" t="n"/>
      <c r="E286" s="70" t="n"/>
      <c r="F286" s="70" t="n"/>
      <c r="G286" s="71" t="n"/>
      <c r="H286" s="70" t="n"/>
    </row>
    <row r="287" ht="17" customHeight="1">
      <c r="A287" s="67" t="inlineStr">
        <is>
          <t>KÜÇÜK KIZLAR</t>
        </is>
      </c>
      <c r="B287" s="72" t="inlineStr">
        <is>
          <t>Grup 2</t>
        </is>
      </c>
      <c r="C287" s="69" t="n">
        <v>2</v>
      </c>
      <c r="D287" s="70" t="n"/>
      <c r="E287" s="70" t="n"/>
      <c r="F287" s="70" t="n"/>
      <c r="G287" s="71" t="n"/>
      <c r="H287" s="70" t="n"/>
    </row>
    <row r="288" ht="17" customHeight="1">
      <c r="A288" s="67" t="inlineStr">
        <is>
          <t>KÜÇÜK KIZLAR</t>
        </is>
      </c>
      <c r="B288" s="72" t="inlineStr">
        <is>
          <t>Grup 2</t>
        </is>
      </c>
      <c r="C288" s="69" t="n">
        <v>3</v>
      </c>
      <c r="D288" s="70" t="n"/>
      <c r="E288" s="70" t="n"/>
      <c r="F288" s="70" t="n"/>
      <c r="G288" s="71" t="n"/>
      <c r="H288" s="70" t="n"/>
    </row>
    <row r="289" ht="17" customHeight="1">
      <c r="A289" s="67" t="inlineStr">
        <is>
          <t>KÜÇÜK KIZLAR</t>
        </is>
      </c>
      <c r="B289" s="72" t="inlineStr">
        <is>
          <t>Grup 2</t>
        </is>
      </c>
      <c r="C289" s="69" t="n">
        <v>4</v>
      </c>
      <c r="D289" s="70" t="n"/>
      <c r="E289" s="70" t="n"/>
      <c r="F289" s="70" t="n"/>
      <c r="G289" s="71" t="n"/>
      <c r="H289" s="70" t="n"/>
    </row>
    <row r="290" ht="17" customHeight="1">
      <c r="A290" s="67" t="inlineStr">
        <is>
          <t>KÜÇÜK KIZLAR</t>
        </is>
      </c>
      <c r="B290" s="72" t="inlineStr">
        <is>
          <t>Grup 2</t>
        </is>
      </c>
      <c r="C290" s="69" t="n">
        <v>5</v>
      </c>
      <c r="D290" s="70" t="n"/>
      <c r="E290" s="70" t="n"/>
      <c r="F290" s="70" t="n"/>
      <c r="G290" s="71" t="n"/>
      <c r="H290" s="70" t="n"/>
    </row>
    <row r="291" ht="17" customHeight="1">
      <c r="A291" s="67" t="inlineStr">
        <is>
          <t>KÜÇÜK KIZLAR</t>
        </is>
      </c>
      <c r="B291" s="72" t="inlineStr">
        <is>
          <t>Grup 2</t>
        </is>
      </c>
      <c r="C291" s="69" t="n">
        <v>6</v>
      </c>
      <c r="D291" s="70" t="n"/>
      <c r="E291" s="70" t="n"/>
      <c r="F291" s="70" t="n"/>
      <c r="G291" s="71" t="n"/>
      <c r="H291" s="70" t="n"/>
    </row>
    <row r="292" ht="17" customHeight="1">
      <c r="A292" s="67" t="inlineStr">
        <is>
          <t>KÜÇÜK KIZLAR</t>
        </is>
      </c>
      <c r="B292" s="72" t="inlineStr">
        <is>
          <t>Grup 2</t>
        </is>
      </c>
      <c r="C292" s="69" t="n">
        <v>7</v>
      </c>
      <c r="D292" s="70" t="n"/>
      <c r="E292" s="70" t="n"/>
      <c r="F292" s="70" t="n"/>
      <c r="G292" s="71" t="n"/>
      <c r="H292" s="70" t="n"/>
    </row>
    <row r="293" ht="17" customHeight="1">
      <c r="A293" s="67" t="inlineStr">
        <is>
          <t>KÜÇÜK KIZLAR</t>
        </is>
      </c>
      <c r="B293" s="72" t="inlineStr">
        <is>
          <t>Grup 2</t>
        </is>
      </c>
      <c r="C293" s="69" t="n">
        <v>8</v>
      </c>
      <c r="D293" s="70" t="n"/>
      <c r="E293" s="70" t="n"/>
      <c r="F293" s="70" t="n"/>
      <c r="G293" s="71" t="n"/>
      <c r="H293" s="70" t="n"/>
    </row>
    <row r="294" ht="17" customHeight="1">
      <c r="A294" s="63" t="inlineStr">
        <is>
          <t>KÜÇÜK KIZLAR</t>
        </is>
      </c>
      <c r="B294" s="64" t="inlineStr">
        <is>
          <t>Grup 3</t>
        </is>
      </c>
      <c r="C294" s="65" t="n">
        <v>1</v>
      </c>
      <c r="D294" s="30" t="n"/>
      <c r="E294" s="30" t="n"/>
      <c r="F294" s="30" t="n"/>
      <c r="G294" s="32" t="n"/>
      <c r="H294" s="30" t="n"/>
    </row>
    <row r="295" ht="17" customHeight="1">
      <c r="A295" s="63" t="inlineStr">
        <is>
          <t>KÜÇÜK KIZLAR</t>
        </is>
      </c>
      <c r="B295" s="66" t="inlineStr">
        <is>
          <t>Grup 3</t>
        </is>
      </c>
      <c r="C295" s="65" t="n">
        <v>2</v>
      </c>
      <c r="D295" s="30" t="n"/>
      <c r="E295" s="30" t="n"/>
      <c r="F295" s="30" t="n"/>
      <c r="G295" s="32" t="n"/>
      <c r="H295" s="30" t="n"/>
    </row>
    <row r="296" ht="17" customHeight="1">
      <c r="A296" s="63" t="inlineStr">
        <is>
          <t>KÜÇÜK KIZLAR</t>
        </is>
      </c>
      <c r="B296" s="66" t="inlineStr">
        <is>
          <t>Grup 3</t>
        </is>
      </c>
      <c r="C296" s="65" t="n">
        <v>3</v>
      </c>
      <c r="D296" s="30" t="n"/>
      <c r="E296" s="30" t="n"/>
      <c r="F296" s="30" t="n"/>
      <c r="G296" s="32" t="n"/>
      <c r="H296" s="30" t="n"/>
    </row>
    <row r="297" ht="17" customHeight="1">
      <c r="A297" s="63" t="inlineStr">
        <is>
          <t>KÜÇÜK KIZLAR</t>
        </is>
      </c>
      <c r="B297" s="66" t="inlineStr">
        <is>
          <t>Grup 3</t>
        </is>
      </c>
      <c r="C297" s="65" t="n">
        <v>4</v>
      </c>
      <c r="D297" s="30" t="n"/>
      <c r="E297" s="30" t="n"/>
      <c r="F297" s="30" t="n"/>
      <c r="G297" s="32" t="n"/>
      <c r="H297" s="30" t="n"/>
    </row>
    <row r="298" ht="17" customHeight="1">
      <c r="A298" s="63" t="inlineStr">
        <is>
          <t>KÜÇÜK KIZLAR</t>
        </is>
      </c>
      <c r="B298" s="66" t="inlineStr">
        <is>
          <t>Grup 3</t>
        </is>
      </c>
      <c r="C298" s="65" t="n">
        <v>5</v>
      </c>
      <c r="D298" s="30" t="n"/>
      <c r="E298" s="30" t="n"/>
      <c r="F298" s="30" t="n"/>
      <c r="G298" s="32" t="n"/>
      <c r="H298" s="30" t="n"/>
    </row>
    <row r="299" ht="17" customHeight="1">
      <c r="A299" s="63" t="inlineStr">
        <is>
          <t>KÜÇÜK KIZLAR</t>
        </is>
      </c>
      <c r="B299" s="66" t="inlineStr">
        <is>
          <t>Grup 3</t>
        </is>
      </c>
      <c r="C299" s="65" t="n">
        <v>6</v>
      </c>
      <c r="D299" s="30" t="n"/>
      <c r="E299" s="30" t="n"/>
      <c r="F299" s="30" t="n"/>
      <c r="G299" s="32" t="n"/>
      <c r="H299" s="30" t="n"/>
    </row>
    <row r="300" ht="17" customHeight="1">
      <c r="A300" s="63" t="inlineStr">
        <is>
          <t>KÜÇÜK KIZLAR</t>
        </is>
      </c>
      <c r="B300" s="66" t="inlineStr">
        <is>
          <t>Grup 3</t>
        </is>
      </c>
      <c r="C300" s="65" t="n">
        <v>7</v>
      </c>
      <c r="D300" s="30" t="n"/>
      <c r="E300" s="30" t="n"/>
      <c r="F300" s="30" t="n"/>
      <c r="G300" s="32" t="n"/>
      <c r="H300" s="30" t="n"/>
    </row>
    <row r="301" ht="17" customHeight="1">
      <c r="A301" s="63" t="inlineStr">
        <is>
          <t>KÜÇÜK KIZLAR</t>
        </is>
      </c>
      <c r="B301" s="66" t="inlineStr">
        <is>
          <t>Grup 3</t>
        </is>
      </c>
      <c r="C301" s="65" t="n">
        <v>8</v>
      </c>
      <c r="D301" s="30" t="n"/>
      <c r="E301" s="30" t="n"/>
      <c r="F301" s="30" t="n"/>
      <c r="G301" s="32" t="n"/>
      <c r="H301" s="30" t="n"/>
    </row>
    <row r="302" ht="17" customHeight="1">
      <c r="A302" s="67" t="inlineStr">
        <is>
          <t>KÜÇÜK KIZLAR</t>
        </is>
      </c>
      <c r="B302" s="68" t="inlineStr">
        <is>
          <t>Grup 4</t>
        </is>
      </c>
      <c r="C302" s="69" t="n">
        <v>1</v>
      </c>
      <c r="D302" s="70" t="n"/>
      <c r="E302" s="70" t="n"/>
      <c r="F302" s="70" t="n"/>
      <c r="G302" s="71" t="n"/>
      <c r="H302" s="70" t="n"/>
    </row>
    <row r="303" ht="17" customHeight="1">
      <c r="A303" s="67" t="inlineStr">
        <is>
          <t>KÜÇÜK KIZLAR</t>
        </is>
      </c>
      <c r="B303" s="72" t="inlineStr">
        <is>
          <t>Grup 4</t>
        </is>
      </c>
      <c r="C303" s="69" t="n">
        <v>2</v>
      </c>
      <c r="D303" s="70" t="n"/>
      <c r="E303" s="70" t="n"/>
      <c r="F303" s="70" t="n"/>
      <c r="G303" s="71" t="n"/>
      <c r="H303" s="70" t="n"/>
    </row>
    <row r="304" ht="17" customHeight="1">
      <c r="A304" s="67" t="inlineStr">
        <is>
          <t>KÜÇÜK KIZLAR</t>
        </is>
      </c>
      <c r="B304" s="72" t="inlineStr">
        <is>
          <t>Grup 4</t>
        </is>
      </c>
      <c r="C304" s="69" t="n">
        <v>3</v>
      </c>
      <c r="D304" s="70" t="n"/>
      <c r="E304" s="70" t="n"/>
      <c r="F304" s="70" t="n"/>
      <c r="G304" s="71" t="n"/>
      <c r="H304" s="70" t="n"/>
    </row>
    <row r="305" ht="17" customHeight="1">
      <c r="A305" s="67" t="inlineStr">
        <is>
          <t>KÜÇÜK KIZLAR</t>
        </is>
      </c>
      <c r="B305" s="72" t="inlineStr">
        <is>
          <t>Grup 4</t>
        </is>
      </c>
      <c r="C305" s="69" t="n">
        <v>4</v>
      </c>
      <c r="D305" s="70" t="n"/>
      <c r="E305" s="70" t="n"/>
      <c r="F305" s="70" t="n"/>
      <c r="G305" s="71" t="n"/>
      <c r="H305" s="70" t="n"/>
    </row>
    <row r="306" ht="17" customHeight="1">
      <c r="A306" s="67" t="inlineStr">
        <is>
          <t>KÜÇÜK KIZLAR</t>
        </is>
      </c>
      <c r="B306" s="72" t="inlineStr">
        <is>
          <t>Grup 4</t>
        </is>
      </c>
      <c r="C306" s="69" t="n">
        <v>5</v>
      </c>
      <c r="D306" s="70" t="n"/>
      <c r="E306" s="70" t="n"/>
      <c r="F306" s="70" t="n"/>
      <c r="G306" s="71" t="n"/>
      <c r="H306" s="70" t="n"/>
    </row>
    <row r="307" ht="17" customHeight="1">
      <c r="A307" s="67" t="inlineStr">
        <is>
          <t>KÜÇÜK KIZLAR</t>
        </is>
      </c>
      <c r="B307" s="72" t="inlineStr">
        <is>
          <t>Grup 4</t>
        </is>
      </c>
      <c r="C307" s="69" t="n">
        <v>6</v>
      </c>
      <c r="D307" s="70" t="n"/>
      <c r="E307" s="70" t="n"/>
      <c r="F307" s="70" t="n"/>
      <c r="G307" s="71" t="n"/>
      <c r="H307" s="70" t="n"/>
    </row>
    <row r="308" ht="17" customHeight="1">
      <c r="A308" s="67" t="inlineStr">
        <is>
          <t>KÜÇÜK KIZLAR</t>
        </is>
      </c>
      <c r="B308" s="72" t="inlineStr">
        <is>
          <t>Grup 4</t>
        </is>
      </c>
      <c r="C308" s="69" t="n">
        <v>7</v>
      </c>
      <c r="D308" s="70" t="n"/>
      <c r="E308" s="70" t="n"/>
      <c r="F308" s="70" t="n"/>
      <c r="G308" s="71" t="n"/>
      <c r="H308" s="70" t="n"/>
    </row>
    <row r="309" ht="17" customHeight="1">
      <c r="A309" s="67" t="inlineStr">
        <is>
          <t>KÜÇÜK KIZLAR</t>
        </is>
      </c>
      <c r="B309" s="72" t="inlineStr">
        <is>
          <t>Grup 4</t>
        </is>
      </c>
      <c r="C309" s="69" t="n">
        <v>8</v>
      </c>
      <c r="D309" s="70" t="n"/>
      <c r="E309" s="70" t="n"/>
      <c r="F309" s="70" t="n"/>
      <c r="G309" s="71" t="n"/>
      <c r="H309" s="70" t="n"/>
    </row>
    <row r="310" ht="17" customHeight="1">
      <c r="A310" s="63" t="inlineStr">
        <is>
          <t>KÜÇÜK KIZLAR</t>
        </is>
      </c>
      <c r="B310" s="64" t="inlineStr">
        <is>
          <t>Grup 5</t>
        </is>
      </c>
      <c r="C310" s="65" t="n">
        <v>1</v>
      </c>
      <c r="D310" s="30" t="n"/>
      <c r="E310" s="30" t="n"/>
      <c r="F310" s="30" t="n"/>
      <c r="G310" s="32" t="n"/>
      <c r="H310" s="30" t="n"/>
    </row>
    <row r="311" ht="17" customHeight="1">
      <c r="A311" s="63" t="inlineStr">
        <is>
          <t>KÜÇÜK KIZLAR</t>
        </is>
      </c>
      <c r="B311" s="66" t="inlineStr">
        <is>
          <t>Grup 5</t>
        </is>
      </c>
      <c r="C311" s="65" t="n">
        <v>2</v>
      </c>
      <c r="D311" s="30" t="n"/>
      <c r="E311" s="30" t="n"/>
      <c r="F311" s="30" t="n"/>
      <c r="G311" s="32" t="n"/>
      <c r="H311" s="30" t="n"/>
    </row>
    <row r="312" ht="17" customHeight="1">
      <c r="A312" s="63" t="inlineStr">
        <is>
          <t>KÜÇÜK KIZLAR</t>
        </is>
      </c>
      <c r="B312" s="66" t="inlineStr">
        <is>
          <t>Grup 5</t>
        </is>
      </c>
      <c r="C312" s="65" t="n">
        <v>3</v>
      </c>
      <c r="D312" s="30" t="n"/>
      <c r="E312" s="30" t="n"/>
      <c r="F312" s="30" t="n"/>
      <c r="G312" s="32" t="n"/>
      <c r="H312" s="30" t="n"/>
    </row>
    <row r="313" ht="17" customHeight="1">
      <c r="A313" s="63" t="inlineStr">
        <is>
          <t>KÜÇÜK KIZLAR</t>
        </is>
      </c>
      <c r="B313" s="66" t="inlineStr">
        <is>
          <t>Grup 5</t>
        </is>
      </c>
      <c r="C313" s="65" t="n">
        <v>4</v>
      </c>
      <c r="D313" s="30" t="n"/>
      <c r="E313" s="30" t="n"/>
      <c r="F313" s="30" t="n"/>
      <c r="G313" s="32" t="n"/>
      <c r="H313" s="30" t="n"/>
    </row>
    <row r="314" ht="17" customHeight="1">
      <c r="A314" s="63" t="inlineStr">
        <is>
          <t>KÜÇÜK KIZLAR</t>
        </is>
      </c>
      <c r="B314" s="66" t="inlineStr">
        <is>
          <t>Grup 5</t>
        </is>
      </c>
      <c r="C314" s="65" t="n">
        <v>5</v>
      </c>
      <c r="D314" s="30" t="n"/>
      <c r="E314" s="30" t="n"/>
      <c r="F314" s="30" t="n"/>
      <c r="G314" s="32" t="n"/>
      <c r="H314" s="30" t="n"/>
    </row>
    <row r="315" ht="17" customHeight="1">
      <c r="A315" s="63" t="inlineStr">
        <is>
          <t>KÜÇÜK KIZLAR</t>
        </is>
      </c>
      <c r="B315" s="66" t="inlineStr">
        <is>
          <t>Grup 5</t>
        </is>
      </c>
      <c r="C315" s="65" t="n">
        <v>6</v>
      </c>
      <c r="D315" s="30" t="n"/>
      <c r="E315" s="30" t="n"/>
      <c r="F315" s="30" t="n"/>
      <c r="G315" s="32" t="n"/>
      <c r="H315" s="30" t="n"/>
    </row>
    <row r="316" ht="17" customHeight="1">
      <c r="A316" s="63" t="inlineStr">
        <is>
          <t>KÜÇÜK KIZLAR</t>
        </is>
      </c>
      <c r="B316" s="66" t="inlineStr">
        <is>
          <t>Grup 5</t>
        </is>
      </c>
      <c r="C316" s="65" t="n">
        <v>7</v>
      </c>
      <c r="D316" s="30" t="n"/>
      <c r="E316" s="30" t="n"/>
      <c r="F316" s="30" t="n"/>
      <c r="G316" s="32" t="n"/>
      <c r="H316" s="30" t="n"/>
    </row>
    <row r="317" ht="17" customHeight="1">
      <c r="A317" s="63" t="inlineStr">
        <is>
          <t>KÜÇÜK KIZLAR</t>
        </is>
      </c>
      <c r="B317" s="66" t="inlineStr">
        <is>
          <t>Grup 5</t>
        </is>
      </c>
      <c r="C317" s="65" t="n">
        <v>8</v>
      </c>
      <c r="D317" s="30" t="n"/>
      <c r="E317" s="30" t="n"/>
      <c r="F317" s="30" t="n"/>
      <c r="G317" s="32" t="n"/>
      <c r="H317" s="30" t="n"/>
    </row>
    <row r="318" ht="17" customHeight="1">
      <c r="A318" s="67" t="inlineStr">
        <is>
          <t>KÜÇÜK KIZLAR</t>
        </is>
      </c>
      <c r="B318" s="68" t="inlineStr">
        <is>
          <t>Grup 6</t>
        </is>
      </c>
      <c r="C318" s="69" t="n">
        <v>1</v>
      </c>
      <c r="D318" s="70" t="n"/>
      <c r="E318" s="70" t="n"/>
      <c r="F318" s="70" t="n"/>
      <c r="G318" s="71" t="n"/>
      <c r="H318" s="70" t="n"/>
    </row>
    <row r="319" ht="17" customHeight="1">
      <c r="A319" s="67" t="inlineStr">
        <is>
          <t>KÜÇÜK KIZLAR</t>
        </is>
      </c>
      <c r="B319" s="72" t="inlineStr">
        <is>
          <t>Grup 6</t>
        </is>
      </c>
      <c r="C319" s="69" t="n">
        <v>2</v>
      </c>
      <c r="D319" s="70" t="n"/>
      <c r="E319" s="70" t="n"/>
      <c r="F319" s="70" t="n"/>
      <c r="G319" s="71" t="n"/>
      <c r="H319" s="70" t="n"/>
    </row>
    <row r="320" ht="17" customHeight="1">
      <c r="A320" s="67" t="inlineStr">
        <is>
          <t>KÜÇÜK KIZLAR</t>
        </is>
      </c>
      <c r="B320" s="72" t="inlineStr">
        <is>
          <t>Grup 6</t>
        </is>
      </c>
      <c r="C320" s="69" t="n">
        <v>3</v>
      </c>
      <c r="D320" s="70" t="n"/>
      <c r="E320" s="70" t="n"/>
      <c r="F320" s="70" t="n"/>
      <c r="G320" s="71" t="n"/>
      <c r="H320" s="70" t="n"/>
    </row>
    <row r="321" ht="17" customHeight="1">
      <c r="A321" s="67" t="inlineStr">
        <is>
          <t>KÜÇÜK KIZLAR</t>
        </is>
      </c>
      <c r="B321" s="72" t="inlineStr">
        <is>
          <t>Grup 6</t>
        </is>
      </c>
      <c r="C321" s="69" t="n">
        <v>4</v>
      </c>
      <c r="D321" s="70" t="n"/>
      <c r="E321" s="70" t="n"/>
      <c r="F321" s="70" t="n"/>
      <c r="G321" s="71" t="n"/>
      <c r="H321" s="70" t="n"/>
    </row>
    <row r="322" ht="17" customHeight="1">
      <c r="A322" s="67" t="inlineStr">
        <is>
          <t>KÜÇÜK KIZLAR</t>
        </is>
      </c>
      <c r="B322" s="72" t="inlineStr">
        <is>
          <t>Grup 6</t>
        </is>
      </c>
      <c r="C322" s="69" t="n">
        <v>5</v>
      </c>
      <c r="D322" s="70" t="n"/>
      <c r="E322" s="70" t="n"/>
      <c r="F322" s="70" t="n"/>
      <c r="G322" s="71" t="n"/>
      <c r="H322" s="70" t="n"/>
    </row>
    <row r="323" ht="17" customHeight="1">
      <c r="A323" s="67" t="inlineStr">
        <is>
          <t>KÜÇÜK KIZLAR</t>
        </is>
      </c>
      <c r="B323" s="72" t="inlineStr">
        <is>
          <t>Grup 6</t>
        </is>
      </c>
      <c r="C323" s="69" t="n">
        <v>6</v>
      </c>
      <c r="D323" s="70" t="n"/>
      <c r="E323" s="70" t="n"/>
      <c r="F323" s="70" t="n"/>
      <c r="G323" s="71" t="n"/>
      <c r="H323" s="70" t="n"/>
    </row>
    <row r="324" ht="17" customHeight="1">
      <c r="A324" s="67" t="inlineStr">
        <is>
          <t>KÜÇÜK KIZLAR</t>
        </is>
      </c>
      <c r="B324" s="72" t="inlineStr">
        <is>
          <t>Grup 6</t>
        </is>
      </c>
      <c r="C324" s="69" t="n">
        <v>7</v>
      </c>
      <c r="D324" s="70" t="n"/>
      <c r="E324" s="70" t="n"/>
      <c r="F324" s="70" t="n"/>
      <c r="G324" s="71" t="n"/>
      <c r="H324" s="70" t="n"/>
    </row>
    <row r="325" ht="17" customHeight="1">
      <c r="A325" s="67" t="inlineStr">
        <is>
          <t>KÜÇÜK KIZLAR</t>
        </is>
      </c>
      <c r="B325" s="72" t="inlineStr">
        <is>
          <t>Grup 6</t>
        </is>
      </c>
      <c r="C325" s="69" t="n">
        <v>8</v>
      </c>
      <c r="D325" s="70" t="n"/>
      <c r="E325" s="70" t="n"/>
      <c r="F325" s="70" t="n"/>
      <c r="G325" s="71" t="n"/>
      <c r="H325" s="70" t="n"/>
    </row>
    <row r="326" ht="17" customHeight="1">
      <c r="A326" s="63" t="inlineStr">
        <is>
          <t>KÜÇÜK KIZLAR</t>
        </is>
      </c>
      <c r="B326" s="64" t="inlineStr">
        <is>
          <t>Grup 7</t>
        </is>
      </c>
      <c r="C326" s="65" t="n">
        <v>1</v>
      </c>
      <c r="D326" s="30" t="n"/>
      <c r="E326" s="30" t="n"/>
      <c r="F326" s="30" t="n"/>
      <c r="G326" s="32" t="n"/>
      <c r="H326" s="30" t="n"/>
    </row>
    <row r="327" ht="17" customHeight="1">
      <c r="A327" s="63" t="inlineStr">
        <is>
          <t>KÜÇÜK KIZLAR</t>
        </is>
      </c>
      <c r="B327" s="66" t="inlineStr">
        <is>
          <t>Grup 7</t>
        </is>
      </c>
      <c r="C327" s="65" t="n">
        <v>2</v>
      </c>
      <c r="D327" s="30" t="n"/>
      <c r="E327" s="30" t="n"/>
      <c r="F327" s="30" t="n"/>
      <c r="G327" s="32" t="n"/>
      <c r="H327" s="30" t="n"/>
    </row>
    <row r="328" ht="17" customHeight="1">
      <c r="A328" s="63" t="inlineStr">
        <is>
          <t>KÜÇÜK KIZLAR</t>
        </is>
      </c>
      <c r="B328" s="66" t="inlineStr">
        <is>
          <t>Grup 7</t>
        </is>
      </c>
      <c r="C328" s="65" t="n">
        <v>3</v>
      </c>
      <c r="D328" s="30" t="n"/>
      <c r="E328" s="30" t="n"/>
      <c r="F328" s="30" t="n"/>
      <c r="G328" s="32" t="n"/>
      <c r="H328" s="30" t="n"/>
    </row>
    <row r="329" ht="17" customHeight="1">
      <c r="A329" s="63" t="inlineStr">
        <is>
          <t>KÜÇÜK KIZLAR</t>
        </is>
      </c>
      <c r="B329" s="66" t="inlineStr">
        <is>
          <t>Grup 7</t>
        </is>
      </c>
      <c r="C329" s="65" t="n">
        <v>4</v>
      </c>
      <c r="D329" s="30" t="n"/>
      <c r="E329" s="30" t="n"/>
      <c r="F329" s="30" t="n"/>
      <c r="G329" s="32" t="n"/>
      <c r="H329" s="30" t="n"/>
    </row>
    <row r="330" ht="17" customHeight="1">
      <c r="A330" s="63" t="inlineStr">
        <is>
          <t>KÜÇÜK KIZLAR</t>
        </is>
      </c>
      <c r="B330" s="66" t="inlineStr">
        <is>
          <t>Grup 7</t>
        </is>
      </c>
      <c r="C330" s="65" t="n">
        <v>5</v>
      </c>
      <c r="D330" s="30" t="n"/>
      <c r="E330" s="30" t="n"/>
      <c r="F330" s="30" t="n"/>
      <c r="G330" s="32" t="n"/>
      <c r="H330" s="30" t="n"/>
    </row>
    <row r="331" ht="17" customHeight="1">
      <c r="A331" s="63" t="inlineStr">
        <is>
          <t>KÜÇÜK KIZLAR</t>
        </is>
      </c>
      <c r="B331" s="66" t="inlineStr">
        <is>
          <t>Grup 7</t>
        </is>
      </c>
      <c r="C331" s="65" t="n">
        <v>6</v>
      </c>
      <c r="D331" s="30" t="n"/>
      <c r="E331" s="30" t="n"/>
      <c r="F331" s="30" t="n"/>
      <c r="G331" s="32" t="n"/>
      <c r="H331" s="30" t="n"/>
    </row>
    <row r="332" ht="17" customHeight="1">
      <c r="A332" s="63" t="inlineStr">
        <is>
          <t>KÜÇÜK KIZLAR</t>
        </is>
      </c>
      <c r="B332" s="66" t="inlineStr">
        <is>
          <t>Grup 7</t>
        </is>
      </c>
      <c r="C332" s="65" t="n">
        <v>7</v>
      </c>
      <c r="D332" s="30" t="n"/>
      <c r="E332" s="30" t="n"/>
      <c r="F332" s="30" t="n"/>
      <c r="G332" s="32" t="n"/>
      <c r="H332" s="30" t="n"/>
    </row>
    <row r="333" ht="17" customHeight="1">
      <c r="A333" s="63" t="inlineStr">
        <is>
          <t>KÜÇÜK KIZLAR</t>
        </is>
      </c>
      <c r="B333" s="66" t="inlineStr">
        <is>
          <t>Grup 7</t>
        </is>
      </c>
      <c r="C333" s="65" t="n">
        <v>8</v>
      </c>
      <c r="D333" s="30" t="n"/>
      <c r="E333" s="30" t="n"/>
      <c r="F333" s="30" t="n"/>
      <c r="G333" s="32" t="n"/>
      <c r="H333" s="30" t="n"/>
    </row>
    <row r="334" ht="17" customHeight="1">
      <c r="A334" s="67" t="inlineStr">
        <is>
          <t>KÜÇÜK KIZLAR</t>
        </is>
      </c>
      <c r="B334" s="68" t="inlineStr">
        <is>
          <t>Grup 8</t>
        </is>
      </c>
      <c r="C334" s="69" t="n">
        <v>1</v>
      </c>
      <c r="D334" s="70" t="n"/>
      <c r="E334" s="70" t="n"/>
      <c r="F334" s="70" t="n"/>
      <c r="G334" s="71" t="n"/>
      <c r="H334" s="70" t="n"/>
    </row>
    <row r="335" ht="17" customHeight="1">
      <c r="A335" s="67" t="inlineStr">
        <is>
          <t>KÜÇÜK KIZLAR</t>
        </is>
      </c>
      <c r="B335" s="72" t="inlineStr">
        <is>
          <t>Grup 8</t>
        </is>
      </c>
      <c r="C335" s="69" t="n">
        <v>2</v>
      </c>
      <c r="D335" s="70" t="n"/>
      <c r="E335" s="70" t="n"/>
      <c r="F335" s="70" t="n"/>
      <c r="G335" s="71" t="n"/>
      <c r="H335" s="70" t="n"/>
    </row>
    <row r="336" ht="17" customHeight="1">
      <c r="A336" s="67" t="inlineStr">
        <is>
          <t>KÜÇÜK KIZLAR</t>
        </is>
      </c>
      <c r="B336" s="72" t="inlineStr">
        <is>
          <t>Grup 8</t>
        </is>
      </c>
      <c r="C336" s="69" t="n">
        <v>3</v>
      </c>
      <c r="D336" s="70" t="n"/>
      <c r="E336" s="70" t="n"/>
      <c r="F336" s="70" t="n"/>
      <c r="G336" s="71" t="n"/>
      <c r="H336" s="70" t="n"/>
    </row>
    <row r="337" ht="17" customHeight="1">
      <c r="A337" s="67" t="inlineStr">
        <is>
          <t>KÜÇÜK KIZLAR</t>
        </is>
      </c>
      <c r="B337" s="72" t="inlineStr">
        <is>
          <t>Grup 8</t>
        </is>
      </c>
      <c r="C337" s="69" t="n">
        <v>4</v>
      </c>
      <c r="D337" s="70" t="n"/>
      <c r="E337" s="70" t="n"/>
      <c r="F337" s="70" t="n"/>
      <c r="G337" s="71" t="n"/>
      <c r="H337" s="70" t="n"/>
    </row>
    <row r="338" ht="17" customHeight="1">
      <c r="A338" s="67" t="inlineStr">
        <is>
          <t>KÜÇÜK KIZLAR</t>
        </is>
      </c>
      <c r="B338" s="72" t="inlineStr">
        <is>
          <t>Grup 8</t>
        </is>
      </c>
      <c r="C338" s="69" t="n">
        <v>5</v>
      </c>
      <c r="D338" s="70" t="n"/>
      <c r="E338" s="70" t="n"/>
      <c r="F338" s="70" t="n"/>
      <c r="G338" s="71" t="n"/>
      <c r="H338" s="70" t="n"/>
    </row>
    <row r="339" ht="17" customHeight="1">
      <c r="A339" s="67" t="inlineStr">
        <is>
          <t>KÜÇÜK KIZLAR</t>
        </is>
      </c>
      <c r="B339" s="72" t="inlineStr">
        <is>
          <t>Grup 8</t>
        </is>
      </c>
      <c r="C339" s="69" t="n">
        <v>6</v>
      </c>
      <c r="D339" s="70" t="n"/>
      <c r="E339" s="70" t="n"/>
      <c r="F339" s="70" t="n"/>
      <c r="G339" s="71" t="n"/>
      <c r="H339" s="70" t="n"/>
    </row>
    <row r="340" ht="17" customHeight="1">
      <c r="A340" s="67" t="inlineStr">
        <is>
          <t>KÜÇÜK KIZLAR</t>
        </is>
      </c>
      <c r="B340" s="72" t="inlineStr">
        <is>
          <t>Grup 8</t>
        </is>
      </c>
      <c r="C340" s="69" t="n">
        <v>7</v>
      </c>
      <c r="D340" s="70" t="n"/>
      <c r="E340" s="70" t="n"/>
      <c r="F340" s="70" t="n"/>
      <c r="G340" s="71" t="n"/>
      <c r="H340" s="70" t="n"/>
    </row>
    <row r="341" ht="17" customHeight="1">
      <c r="A341" s="67" t="inlineStr">
        <is>
          <t>KÜÇÜK KIZLAR</t>
        </is>
      </c>
      <c r="B341" s="72" t="inlineStr">
        <is>
          <t>Grup 8</t>
        </is>
      </c>
      <c r="C341" s="69" t="n">
        <v>8</v>
      </c>
      <c r="D341" s="70" t="n"/>
      <c r="E341" s="70" t="n"/>
      <c r="F341" s="70" t="n"/>
      <c r="G341" s="71" t="n"/>
      <c r="H341" s="70" t="n"/>
    </row>
    <row r="344" ht="22" customHeight="1">
      <c r="A344" s="54" t="inlineStr">
        <is>
          <t>KÜÇÜK ERKEKLER</t>
        </is>
      </c>
    </row>
    <row r="345" ht="20" customHeight="1">
      <c r="A345" s="62" t="inlineStr">
        <is>
          <t>KATEGORİ</t>
        </is>
      </c>
      <c r="B345" s="62" t="inlineStr">
        <is>
          <t>GRUP</t>
        </is>
      </c>
      <c r="C345" s="62" t="inlineStr">
        <is>
          <t>SIRA</t>
        </is>
      </c>
      <c r="D345" s="62" t="inlineStr">
        <is>
          <t>AD</t>
        </is>
      </c>
      <c r="E345" s="62" t="inlineStr">
        <is>
          <t>SOYAD</t>
        </is>
      </c>
      <c r="F345" s="62" t="inlineStr">
        <is>
          <t>OKUL / KULÜP</t>
        </is>
      </c>
      <c r="G345" s="62" t="inlineStr">
        <is>
          <t>TÜR</t>
        </is>
      </c>
      <c r="H345" s="62" t="inlineStr">
        <is>
          <t>ANTRENÖR / ÖĞR.</t>
        </is>
      </c>
    </row>
    <row r="346" ht="17" customHeight="1">
      <c r="A346" s="63" t="inlineStr">
        <is>
          <t>KÜÇÜK ERKEKLER</t>
        </is>
      </c>
      <c r="B346" s="64" t="inlineStr">
        <is>
          <t>Grup 1</t>
        </is>
      </c>
      <c r="C346" s="65" t="n">
        <v>1</v>
      </c>
      <c r="D346" s="30" t="n"/>
      <c r="E346" s="30" t="n"/>
      <c r="F346" s="30" t="n"/>
      <c r="G346" s="32" t="n"/>
      <c r="H346" s="30" t="n"/>
    </row>
    <row r="347" ht="17" customHeight="1">
      <c r="A347" s="63" t="inlineStr">
        <is>
          <t>KÜÇÜK ERKEKLER</t>
        </is>
      </c>
      <c r="B347" s="66" t="inlineStr">
        <is>
          <t>Grup 1</t>
        </is>
      </c>
      <c r="C347" s="65" t="n">
        <v>2</v>
      </c>
      <c r="D347" s="30" t="n"/>
      <c r="E347" s="30" t="n"/>
      <c r="F347" s="30" t="n"/>
      <c r="G347" s="32" t="n"/>
      <c r="H347" s="30" t="n"/>
    </row>
    <row r="348" ht="17" customHeight="1">
      <c r="A348" s="63" t="inlineStr">
        <is>
          <t>KÜÇÜK ERKEKLER</t>
        </is>
      </c>
      <c r="B348" s="66" t="inlineStr">
        <is>
          <t>Grup 1</t>
        </is>
      </c>
      <c r="C348" s="65" t="n">
        <v>3</v>
      </c>
      <c r="D348" s="30" t="n"/>
      <c r="E348" s="30" t="n"/>
      <c r="F348" s="30" t="n"/>
      <c r="G348" s="32" t="n"/>
      <c r="H348" s="30" t="n"/>
    </row>
    <row r="349" ht="17" customHeight="1">
      <c r="A349" s="63" t="inlineStr">
        <is>
          <t>KÜÇÜK ERKEKLER</t>
        </is>
      </c>
      <c r="B349" s="66" t="inlineStr">
        <is>
          <t>Grup 1</t>
        </is>
      </c>
      <c r="C349" s="65" t="n">
        <v>4</v>
      </c>
      <c r="D349" s="30" t="n"/>
      <c r="E349" s="30" t="n"/>
      <c r="F349" s="30" t="n"/>
      <c r="G349" s="32" t="n"/>
      <c r="H349" s="30" t="n"/>
    </row>
    <row r="350" ht="17" customHeight="1">
      <c r="A350" s="63" t="inlineStr">
        <is>
          <t>KÜÇÜK ERKEKLER</t>
        </is>
      </c>
      <c r="B350" s="66" t="inlineStr">
        <is>
          <t>Grup 1</t>
        </is>
      </c>
      <c r="C350" s="65" t="n">
        <v>5</v>
      </c>
      <c r="D350" s="30" t="n"/>
      <c r="E350" s="30" t="n"/>
      <c r="F350" s="30" t="n"/>
      <c r="G350" s="32" t="n"/>
      <c r="H350" s="30" t="n"/>
    </row>
    <row r="351" ht="17" customHeight="1">
      <c r="A351" s="63" t="inlineStr">
        <is>
          <t>KÜÇÜK ERKEKLER</t>
        </is>
      </c>
      <c r="B351" s="66" t="inlineStr">
        <is>
          <t>Grup 1</t>
        </is>
      </c>
      <c r="C351" s="65" t="n">
        <v>6</v>
      </c>
      <c r="D351" s="30" t="n"/>
      <c r="E351" s="30" t="n"/>
      <c r="F351" s="30" t="n"/>
      <c r="G351" s="32" t="n"/>
      <c r="H351" s="30" t="n"/>
    </row>
    <row r="352" ht="17" customHeight="1">
      <c r="A352" s="63" t="inlineStr">
        <is>
          <t>KÜÇÜK ERKEKLER</t>
        </is>
      </c>
      <c r="B352" s="66" t="inlineStr">
        <is>
          <t>Grup 1</t>
        </is>
      </c>
      <c r="C352" s="65" t="n">
        <v>7</v>
      </c>
      <c r="D352" s="30" t="n"/>
      <c r="E352" s="30" t="n"/>
      <c r="F352" s="30" t="n"/>
      <c r="G352" s="32" t="n"/>
      <c r="H352" s="30" t="n"/>
    </row>
    <row r="353" ht="17" customHeight="1">
      <c r="A353" s="63" t="inlineStr">
        <is>
          <t>KÜÇÜK ERKEKLER</t>
        </is>
      </c>
      <c r="B353" s="66" t="inlineStr">
        <is>
          <t>Grup 1</t>
        </is>
      </c>
      <c r="C353" s="65" t="n">
        <v>8</v>
      </c>
      <c r="D353" s="30" t="n"/>
      <c r="E353" s="30" t="n"/>
      <c r="F353" s="30" t="n"/>
      <c r="G353" s="32" t="n"/>
      <c r="H353" s="30" t="n"/>
    </row>
    <row r="354" ht="17" customHeight="1">
      <c r="A354" s="73" t="inlineStr">
        <is>
          <t>KÜÇÜK ERKEKLER</t>
        </is>
      </c>
      <c r="B354" s="74" t="inlineStr">
        <is>
          <t>Grup 2</t>
        </is>
      </c>
      <c r="C354" s="75" t="n">
        <v>1</v>
      </c>
      <c r="D354" s="76" t="n"/>
      <c r="E354" s="76" t="n"/>
      <c r="F354" s="76" t="n"/>
      <c r="G354" s="77" t="n"/>
      <c r="H354" s="76" t="n"/>
    </row>
    <row r="355" ht="17" customHeight="1">
      <c r="A355" s="73" t="inlineStr">
        <is>
          <t>KÜÇÜK ERKEKLER</t>
        </is>
      </c>
      <c r="B355" s="78" t="inlineStr">
        <is>
          <t>Grup 2</t>
        </is>
      </c>
      <c r="C355" s="75" t="n">
        <v>2</v>
      </c>
      <c r="D355" s="76" t="n"/>
      <c r="E355" s="76" t="n"/>
      <c r="F355" s="76" t="n"/>
      <c r="G355" s="77" t="n"/>
      <c r="H355" s="76" t="n"/>
    </row>
    <row r="356" ht="17" customHeight="1">
      <c r="A356" s="73" t="inlineStr">
        <is>
          <t>KÜÇÜK ERKEKLER</t>
        </is>
      </c>
      <c r="B356" s="78" t="inlineStr">
        <is>
          <t>Grup 2</t>
        </is>
      </c>
      <c r="C356" s="75" t="n">
        <v>3</v>
      </c>
      <c r="D356" s="76" t="n"/>
      <c r="E356" s="76" t="n"/>
      <c r="F356" s="76" t="n"/>
      <c r="G356" s="77" t="n"/>
      <c r="H356" s="76" t="n"/>
    </row>
    <row r="357" ht="17" customHeight="1">
      <c r="A357" s="73" t="inlineStr">
        <is>
          <t>KÜÇÜK ERKEKLER</t>
        </is>
      </c>
      <c r="B357" s="78" t="inlineStr">
        <is>
          <t>Grup 2</t>
        </is>
      </c>
      <c r="C357" s="75" t="n">
        <v>4</v>
      </c>
      <c r="D357" s="76" t="n"/>
      <c r="E357" s="76" t="n"/>
      <c r="F357" s="76" t="n"/>
      <c r="G357" s="77" t="n"/>
      <c r="H357" s="76" t="n"/>
    </row>
    <row r="358" ht="17" customHeight="1">
      <c r="A358" s="73" t="inlineStr">
        <is>
          <t>KÜÇÜK ERKEKLER</t>
        </is>
      </c>
      <c r="B358" s="78" t="inlineStr">
        <is>
          <t>Grup 2</t>
        </is>
      </c>
      <c r="C358" s="75" t="n">
        <v>5</v>
      </c>
      <c r="D358" s="76" t="n"/>
      <c r="E358" s="76" t="n"/>
      <c r="F358" s="76" t="n"/>
      <c r="G358" s="77" t="n"/>
      <c r="H358" s="76" t="n"/>
    </row>
    <row r="359" ht="17" customHeight="1">
      <c r="A359" s="73" t="inlineStr">
        <is>
          <t>KÜÇÜK ERKEKLER</t>
        </is>
      </c>
      <c r="B359" s="78" t="inlineStr">
        <is>
          <t>Grup 2</t>
        </is>
      </c>
      <c r="C359" s="75" t="n">
        <v>6</v>
      </c>
      <c r="D359" s="76" t="n"/>
      <c r="E359" s="76" t="n"/>
      <c r="F359" s="76" t="n"/>
      <c r="G359" s="77" t="n"/>
      <c r="H359" s="76" t="n"/>
    </row>
    <row r="360" ht="17" customHeight="1">
      <c r="A360" s="73" t="inlineStr">
        <is>
          <t>KÜÇÜK ERKEKLER</t>
        </is>
      </c>
      <c r="B360" s="78" t="inlineStr">
        <is>
          <t>Grup 2</t>
        </is>
      </c>
      <c r="C360" s="75" t="n">
        <v>7</v>
      </c>
      <c r="D360" s="76" t="n"/>
      <c r="E360" s="76" t="n"/>
      <c r="F360" s="76" t="n"/>
      <c r="G360" s="77" t="n"/>
      <c r="H360" s="76" t="n"/>
    </row>
    <row r="361" ht="17" customHeight="1">
      <c r="A361" s="73" t="inlineStr">
        <is>
          <t>KÜÇÜK ERKEKLER</t>
        </is>
      </c>
      <c r="B361" s="78" t="inlineStr">
        <is>
          <t>Grup 2</t>
        </is>
      </c>
      <c r="C361" s="75" t="n">
        <v>8</v>
      </c>
      <c r="D361" s="76" t="n"/>
      <c r="E361" s="76" t="n"/>
      <c r="F361" s="76" t="n"/>
      <c r="G361" s="77" t="n"/>
      <c r="H361" s="76" t="n"/>
    </row>
    <row r="362" ht="17" customHeight="1">
      <c r="A362" s="63" t="inlineStr">
        <is>
          <t>KÜÇÜK ERKEKLER</t>
        </is>
      </c>
      <c r="B362" s="64" t="inlineStr">
        <is>
          <t>Grup 3</t>
        </is>
      </c>
      <c r="C362" s="65" t="n">
        <v>1</v>
      </c>
      <c r="D362" s="30" t="n"/>
      <c r="E362" s="30" t="n"/>
      <c r="F362" s="30" t="n"/>
      <c r="G362" s="32" t="n"/>
      <c r="H362" s="30" t="n"/>
    </row>
    <row r="363" ht="17" customHeight="1">
      <c r="A363" s="63" t="inlineStr">
        <is>
          <t>KÜÇÜK ERKEKLER</t>
        </is>
      </c>
      <c r="B363" s="66" t="inlineStr">
        <is>
          <t>Grup 3</t>
        </is>
      </c>
      <c r="C363" s="65" t="n">
        <v>2</v>
      </c>
      <c r="D363" s="30" t="n"/>
      <c r="E363" s="30" t="n"/>
      <c r="F363" s="30" t="n"/>
      <c r="G363" s="32" t="n"/>
      <c r="H363" s="30" t="n"/>
    </row>
    <row r="364" ht="17" customHeight="1">
      <c r="A364" s="63" t="inlineStr">
        <is>
          <t>KÜÇÜK ERKEKLER</t>
        </is>
      </c>
      <c r="B364" s="66" t="inlineStr">
        <is>
          <t>Grup 3</t>
        </is>
      </c>
      <c r="C364" s="65" t="n">
        <v>3</v>
      </c>
      <c r="D364" s="30" t="n"/>
      <c r="E364" s="30" t="n"/>
      <c r="F364" s="30" t="n"/>
      <c r="G364" s="32" t="n"/>
      <c r="H364" s="30" t="n"/>
    </row>
    <row r="365" ht="17" customHeight="1">
      <c r="A365" s="63" t="inlineStr">
        <is>
          <t>KÜÇÜK ERKEKLER</t>
        </is>
      </c>
      <c r="B365" s="66" t="inlineStr">
        <is>
          <t>Grup 3</t>
        </is>
      </c>
      <c r="C365" s="65" t="n">
        <v>4</v>
      </c>
      <c r="D365" s="30" t="n"/>
      <c r="E365" s="30" t="n"/>
      <c r="F365" s="30" t="n"/>
      <c r="G365" s="32" t="n"/>
      <c r="H365" s="30" t="n"/>
    </row>
    <row r="366" ht="17" customHeight="1">
      <c r="A366" s="63" t="inlineStr">
        <is>
          <t>KÜÇÜK ERKEKLER</t>
        </is>
      </c>
      <c r="B366" s="66" t="inlineStr">
        <is>
          <t>Grup 3</t>
        </is>
      </c>
      <c r="C366" s="65" t="n">
        <v>5</v>
      </c>
      <c r="D366" s="30" t="n"/>
      <c r="E366" s="30" t="n"/>
      <c r="F366" s="30" t="n"/>
      <c r="G366" s="32" t="n"/>
      <c r="H366" s="30" t="n"/>
    </row>
    <row r="367" ht="17" customHeight="1">
      <c r="A367" s="63" t="inlineStr">
        <is>
          <t>KÜÇÜK ERKEKLER</t>
        </is>
      </c>
      <c r="B367" s="66" t="inlineStr">
        <is>
          <t>Grup 3</t>
        </is>
      </c>
      <c r="C367" s="65" t="n">
        <v>6</v>
      </c>
      <c r="D367" s="30" t="n"/>
      <c r="E367" s="30" t="n"/>
      <c r="F367" s="30" t="n"/>
      <c r="G367" s="32" t="n"/>
      <c r="H367" s="30" t="n"/>
    </row>
    <row r="368" ht="17" customHeight="1">
      <c r="A368" s="63" t="inlineStr">
        <is>
          <t>KÜÇÜK ERKEKLER</t>
        </is>
      </c>
      <c r="B368" s="66" t="inlineStr">
        <is>
          <t>Grup 3</t>
        </is>
      </c>
      <c r="C368" s="65" t="n">
        <v>7</v>
      </c>
      <c r="D368" s="30" t="n"/>
      <c r="E368" s="30" t="n"/>
      <c r="F368" s="30" t="n"/>
      <c r="G368" s="32" t="n"/>
      <c r="H368" s="30" t="n"/>
    </row>
    <row r="369" ht="17" customHeight="1">
      <c r="A369" s="63" t="inlineStr">
        <is>
          <t>KÜÇÜK ERKEKLER</t>
        </is>
      </c>
      <c r="B369" s="66" t="inlineStr">
        <is>
          <t>Grup 3</t>
        </is>
      </c>
      <c r="C369" s="65" t="n">
        <v>8</v>
      </c>
      <c r="D369" s="30" t="n"/>
      <c r="E369" s="30" t="n"/>
      <c r="F369" s="30" t="n"/>
      <c r="G369" s="32" t="n"/>
      <c r="H369" s="30" t="n"/>
    </row>
    <row r="370" ht="17" customHeight="1">
      <c r="A370" s="73" t="inlineStr">
        <is>
          <t>KÜÇÜK ERKEKLER</t>
        </is>
      </c>
      <c r="B370" s="74" t="inlineStr">
        <is>
          <t>Grup 4</t>
        </is>
      </c>
      <c r="C370" s="75" t="n">
        <v>1</v>
      </c>
      <c r="D370" s="76" t="n"/>
      <c r="E370" s="76" t="n"/>
      <c r="F370" s="76" t="n"/>
      <c r="G370" s="77" t="n"/>
      <c r="H370" s="76" t="n"/>
    </row>
    <row r="371" ht="17" customHeight="1">
      <c r="A371" s="73" t="inlineStr">
        <is>
          <t>KÜÇÜK ERKEKLER</t>
        </is>
      </c>
      <c r="B371" s="78" t="inlineStr">
        <is>
          <t>Grup 4</t>
        </is>
      </c>
      <c r="C371" s="75" t="n">
        <v>2</v>
      </c>
      <c r="D371" s="76" t="n"/>
      <c r="E371" s="76" t="n"/>
      <c r="F371" s="76" t="n"/>
      <c r="G371" s="77" t="n"/>
      <c r="H371" s="76" t="n"/>
    </row>
    <row r="372" ht="17" customHeight="1">
      <c r="A372" s="73" t="inlineStr">
        <is>
          <t>KÜÇÜK ERKEKLER</t>
        </is>
      </c>
      <c r="B372" s="78" t="inlineStr">
        <is>
          <t>Grup 4</t>
        </is>
      </c>
      <c r="C372" s="75" t="n">
        <v>3</v>
      </c>
      <c r="D372" s="76" t="n"/>
      <c r="E372" s="76" t="n"/>
      <c r="F372" s="76" t="n"/>
      <c r="G372" s="77" t="n"/>
      <c r="H372" s="76" t="n"/>
    </row>
    <row r="373" ht="17" customHeight="1">
      <c r="A373" s="73" t="inlineStr">
        <is>
          <t>KÜÇÜK ERKEKLER</t>
        </is>
      </c>
      <c r="B373" s="78" t="inlineStr">
        <is>
          <t>Grup 4</t>
        </is>
      </c>
      <c r="C373" s="75" t="n">
        <v>4</v>
      </c>
      <c r="D373" s="76" t="n"/>
      <c r="E373" s="76" t="n"/>
      <c r="F373" s="76" t="n"/>
      <c r="G373" s="77" t="n"/>
      <c r="H373" s="76" t="n"/>
    </row>
    <row r="374" ht="17" customHeight="1">
      <c r="A374" s="73" t="inlineStr">
        <is>
          <t>KÜÇÜK ERKEKLER</t>
        </is>
      </c>
      <c r="B374" s="78" t="inlineStr">
        <is>
          <t>Grup 4</t>
        </is>
      </c>
      <c r="C374" s="75" t="n">
        <v>5</v>
      </c>
      <c r="D374" s="76" t="n"/>
      <c r="E374" s="76" t="n"/>
      <c r="F374" s="76" t="n"/>
      <c r="G374" s="77" t="n"/>
      <c r="H374" s="76" t="n"/>
    </row>
    <row r="375" ht="17" customHeight="1">
      <c r="A375" s="73" t="inlineStr">
        <is>
          <t>KÜÇÜK ERKEKLER</t>
        </is>
      </c>
      <c r="B375" s="78" t="inlineStr">
        <is>
          <t>Grup 4</t>
        </is>
      </c>
      <c r="C375" s="75" t="n">
        <v>6</v>
      </c>
      <c r="D375" s="76" t="n"/>
      <c r="E375" s="76" t="n"/>
      <c r="F375" s="76" t="n"/>
      <c r="G375" s="77" t="n"/>
      <c r="H375" s="76" t="n"/>
    </row>
    <row r="376" ht="17" customHeight="1">
      <c r="A376" s="73" t="inlineStr">
        <is>
          <t>KÜÇÜK ERKEKLER</t>
        </is>
      </c>
      <c r="B376" s="78" t="inlineStr">
        <is>
          <t>Grup 4</t>
        </is>
      </c>
      <c r="C376" s="75" t="n">
        <v>7</v>
      </c>
      <c r="D376" s="76" t="n"/>
      <c r="E376" s="76" t="n"/>
      <c r="F376" s="76" t="n"/>
      <c r="G376" s="77" t="n"/>
      <c r="H376" s="76" t="n"/>
    </row>
    <row r="377" ht="17" customHeight="1">
      <c r="A377" s="73" t="inlineStr">
        <is>
          <t>KÜÇÜK ERKEKLER</t>
        </is>
      </c>
      <c r="B377" s="78" t="inlineStr">
        <is>
          <t>Grup 4</t>
        </is>
      </c>
      <c r="C377" s="75" t="n">
        <v>8</v>
      </c>
      <c r="D377" s="76" t="n"/>
      <c r="E377" s="76" t="n"/>
      <c r="F377" s="76" t="n"/>
      <c r="G377" s="77" t="n"/>
      <c r="H377" s="76" t="n"/>
    </row>
    <row r="378" ht="17" customHeight="1">
      <c r="A378" s="63" t="inlineStr">
        <is>
          <t>KÜÇÜK ERKEKLER</t>
        </is>
      </c>
      <c r="B378" s="64" t="inlineStr">
        <is>
          <t>Grup 5</t>
        </is>
      </c>
      <c r="C378" s="65" t="n">
        <v>1</v>
      </c>
      <c r="D378" s="30" t="n"/>
      <c r="E378" s="30" t="n"/>
      <c r="F378" s="30" t="n"/>
      <c r="G378" s="32" t="n"/>
      <c r="H378" s="30" t="n"/>
    </row>
    <row r="379" ht="17" customHeight="1">
      <c r="A379" s="63" t="inlineStr">
        <is>
          <t>KÜÇÜK ERKEKLER</t>
        </is>
      </c>
      <c r="B379" s="66" t="inlineStr">
        <is>
          <t>Grup 5</t>
        </is>
      </c>
      <c r="C379" s="65" t="n">
        <v>2</v>
      </c>
      <c r="D379" s="30" t="n"/>
      <c r="E379" s="30" t="n"/>
      <c r="F379" s="30" t="n"/>
      <c r="G379" s="32" t="n"/>
      <c r="H379" s="30" t="n"/>
    </row>
    <row r="380" ht="17" customHeight="1">
      <c r="A380" s="63" t="inlineStr">
        <is>
          <t>KÜÇÜK ERKEKLER</t>
        </is>
      </c>
      <c r="B380" s="66" t="inlineStr">
        <is>
          <t>Grup 5</t>
        </is>
      </c>
      <c r="C380" s="65" t="n">
        <v>3</v>
      </c>
      <c r="D380" s="30" t="n"/>
      <c r="E380" s="30" t="n"/>
      <c r="F380" s="30" t="n"/>
      <c r="G380" s="32" t="n"/>
      <c r="H380" s="30" t="n"/>
    </row>
    <row r="381" ht="17" customHeight="1">
      <c r="A381" s="63" t="inlineStr">
        <is>
          <t>KÜÇÜK ERKEKLER</t>
        </is>
      </c>
      <c r="B381" s="66" t="inlineStr">
        <is>
          <t>Grup 5</t>
        </is>
      </c>
      <c r="C381" s="65" t="n">
        <v>4</v>
      </c>
      <c r="D381" s="30" t="n"/>
      <c r="E381" s="30" t="n"/>
      <c r="F381" s="30" t="n"/>
      <c r="G381" s="32" t="n"/>
      <c r="H381" s="30" t="n"/>
    </row>
    <row r="382" ht="17" customHeight="1">
      <c r="A382" s="63" t="inlineStr">
        <is>
          <t>KÜÇÜK ERKEKLER</t>
        </is>
      </c>
      <c r="B382" s="66" t="inlineStr">
        <is>
          <t>Grup 5</t>
        </is>
      </c>
      <c r="C382" s="65" t="n">
        <v>5</v>
      </c>
      <c r="D382" s="30" t="n"/>
      <c r="E382" s="30" t="n"/>
      <c r="F382" s="30" t="n"/>
      <c r="G382" s="32" t="n"/>
      <c r="H382" s="30" t="n"/>
    </row>
    <row r="383" ht="17" customHeight="1">
      <c r="A383" s="63" t="inlineStr">
        <is>
          <t>KÜÇÜK ERKEKLER</t>
        </is>
      </c>
      <c r="B383" s="66" t="inlineStr">
        <is>
          <t>Grup 5</t>
        </is>
      </c>
      <c r="C383" s="65" t="n">
        <v>6</v>
      </c>
      <c r="D383" s="30" t="n"/>
      <c r="E383" s="30" t="n"/>
      <c r="F383" s="30" t="n"/>
      <c r="G383" s="32" t="n"/>
      <c r="H383" s="30" t="n"/>
    </row>
    <row r="384" ht="17" customHeight="1">
      <c r="A384" s="63" t="inlineStr">
        <is>
          <t>KÜÇÜK ERKEKLER</t>
        </is>
      </c>
      <c r="B384" s="66" t="inlineStr">
        <is>
          <t>Grup 5</t>
        </is>
      </c>
      <c r="C384" s="65" t="n">
        <v>7</v>
      </c>
      <c r="D384" s="30" t="n"/>
      <c r="E384" s="30" t="n"/>
      <c r="F384" s="30" t="n"/>
      <c r="G384" s="32" t="n"/>
      <c r="H384" s="30" t="n"/>
    </row>
    <row r="385" ht="17" customHeight="1">
      <c r="A385" s="63" t="inlineStr">
        <is>
          <t>KÜÇÜK ERKEKLER</t>
        </is>
      </c>
      <c r="B385" s="66" t="inlineStr">
        <is>
          <t>Grup 5</t>
        </is>
      </c>
      <c r="C385" s="65" t="n">
        <v>8</v>
      </c>
      <c r="D385" s="30" t="n"/>
      <c r="E385" s="30" t="n"/>
      <c r="F385" s="30" t="n"/>
      <c r="G385" s="32" t="n"/>
      <c r="H385" s="30" t="n"/>
    </row>
    <row r="386" ht="17" customHeight="1">
      <c r="A386" s="73" t="inlineStr">
        <is>
          <t>KÜÇÜK ERKEKLER</t>
        </is>
      </c>
      <c r="B386" s="74" t="inlineStr">
        <is>
          <t>Grup 6</t>
        </is>
      </c>
      <c r="C386" s="75" t="n">
        <v>1</v>
      </c>
      <c r="D386" s="76" t="n"/>
      <c r="E386" s="76" t="n"/>
      <c r="F386" s="76" t="n"/>
      <c r="G386" s="77" t="n"/>
      <c r="H386" s="76" t="n"/>
    </row>
    <row r="387" ht="17" customHeight="1">
      <c r="A387" s="73" t="inlineStr">
        <is>
          <t>KÜÇÜK ERKEKLER</t>
        </is>
      </c>
      <c r="B387" s="78" t="inlineStr">
        <is>
          <t>Grup 6</t>
        </is>
      </c>
      <c r="C387" s="75" t="n">
        <v>2</v>
      </c>
      <c r="D387" s="76" t="n"/>
      <c r="E387" s="76" t="n"/>
      <c r="F387" s="76" t="n"/>
      <c r="G387" s="77" t="n"/>
      <c r="H387" s="76" t="n"/>
    </row>
    <row r="388" ht="17" customHeight="1">
      <c r="A388" s="73" t="inlineStr">
        <is>
          <t>KÜÇÜK ERKEKLER</t>
        </is>
      </c>
      <c r="B388" s="78" t="inlineStr">
        <is>
          <t>Grup 6</t>
        </is>
      </c>
      <c r="C388" s="75" t="n">
        <v>3</v>
      </c>
      <c r="D388" s="76" t="n"/>
      <c r="E388" s="76" t="n"/>
      <c r="F388" s="76" t="n"/>
      <c r="G388" s="77" t="n"/>
      <c r="H388" s="76" t="n"/>
    </row>
    <row r="389" ht="17" customHeight="1">
      <c r="A389" s="73" t="inlineStr">
        <is>
          <t>KÜÇÜK ERKEKLER</t>
        </is>
      </c>
      <c r="B389" s="78" t="inlineStr">
        <is>
          <t>Grup 6</t>
        </is>
      </c>
      <c r="C389" s="75" t="n">
        <v>4</v>
      </c>
      <c r="D389" s="76" t="n"/>
      <c r="E389" s="76" t="n"/>
      <c r="F389" s="76" t="n"/>
      <c r="G389" s="77" t="n"/>
      <c r="H389" s="76" t="n"/>
    </row>
    <row r="390" ht="17" customHeight="1">
      <c r="A390" s="73" t="inlineStr">
        <is>
          <t>KÜÇÜK ERKEKLER</t>
        </is>
      </c>
      <c r="B390" s="78" t="inlineStr">
        <is>
          <t>Grup 6</t>
        </is>
      </c>
      <c r="C390" s="75" t="n">
        <v>5</v>
      </c>
      <c r="D390" s="76" t="n"/>
      <c r="E390" s="76" t="n"/>
      <c r="F390" s="76" t="n"/>
      <c r="G390" s="77" t="n"/>
      <c r="H390" s="76" t="n"/>
    </row>
    <row r="391" ht="17" customHeight="1">
      <c r="A391" s="73" t="inlineStr">
        <is>
          <t>KÜÇÜK ERKEKLER</t>
        </is>
      </c>
      <c r="B391" s="78" t="inlineStr">
        <is>
          <t>Grup 6</t>
        </is>
      </c>
      <c r="C391" s="75" t="n">
        <v>6</v>
      </c>
      <c r="D391" s="76" t="n"/>
      <c r="E391" s="76" t="n"/>
      <c r="F391" s="76" t="n"/>
      <c r="G391" s="77" t="n"/>
      <c r="H391" s="76" t="n"/>
    </row>
    <row r="392" ht="17" customHeight="1">
      <c r="A392" s="73" t="inlineStr">
        <is>
          <t>KÜÇÜK ERKEKLER</t>
        </is>
      </c>
      <c r="B392" s="78" t="inlineStr">
        <is>
          <t>Grup 6</t>
        </is>
      </c>
      <c r="C392" s="75" t="n">
        <v>7</v>
      </c>
      <c r="D392" s="76" t="n"/>
      <c r="E392" s="76" t="n"/>
      <c r="F392" s="76" t="n"/>
      <c r="G392" s="77" t="n"/>
      <c r="H392" s="76" t="n"/>
    </row>
    <row r="393" ht="17" customHeight="1">
      <c r="A393" s="73" t="inlineStr">
        <is>
          <t>KÜÇÜK ERKEKLER</t>
        </is>
      </c>
      <c r="B393" s="78" t="inlineStr">
        <is>
          <t>Grup 6</t>
        </is>
      </c>
      <c r="C393" s="75" t="n">
        <v>8</v>
      </c>
      <c r="D393" s="76" t="n"/>
      <c r="E393" s="76" t="n"/>
      <c r="F393" s="76" t="n"/>
      <c r="G393" s="77" t="n"/>
      <c r="H393" s="76" t="n"/>
    </row>
    <row r="394" ht="17" customHeight="1">
      <c r="A394" s="63" t="inlineStr">
        <is>
          <t>KÜÇÜK ERKEKLER</t>
        </is>
      </c>
      <c r="B394" s="64" t="inlineStr">
        <is>
          <t>Grup 7</t>
        </is>
      </c>
      <c r="C394" s="65" t="n">
        <v>1</v>
      </c>
      <c r="D394" s="30" t="n"/>
      <c r="E394" s="30" t="n"/>
      <c r="F394" s="30" t="n"/>
      <c r="G394" s="32" t="n"/>
      <c r="H394" s="30" t="n"/>
    </row>
    <row r="395" ht="17" customHeight="1">
      <c r="A395" s="63" t="inlineStr">
        <is>
          <t>KÜÇÜK ERKEKLER</t>
        </is>
      </c>
      <c r="B395" s="66" t="inlineStr">
        <is>
          <t>Grup 7</t>
        </is>
      </c>
      <c r="C395" s="65" t="n">
        <v>2</v>
      </c>
      <c r="D395" s="30" t="n"/>
      <c r="E395" s="30" t="n"/>
      <c r="F395" s="30" t="n"/>
      <c r="G395" s="32" t="n"/>
      <c r="H395" s="30" t="n"/>
    </row>
    <row r="396" ht="17" customHeight="1">
      <c r="A396" s="63" t="inlineStr">
        <is>
          <t>KÜÇÜK ERKEKLER</t>
        </is>
      </c>
      <c r="B396" s="66" t="inlineStr">
        <is>
          <t>Grup 7</t>
        </is>
      </c>
      <c r="C396" s="65" t="n">
        <v>3</v>
      </c>
      <c r="D396" s="30" t="n"/>
      <c r="E396" s="30" t="n"/>
      <c r="F396" s="30" t="n"/>
      <c r="G396" s="32" t="n"/>
      <c r="H396" s="30" t="n"/>
    </row>
    <row r="397" ht="17" customHeight="1">
      <c r="A397" s="63" t="inlineStr">
        <is>
          <t>KÜÇÜK ERKEKLER</t>
        </is>
      </c>
      <c r="B397" s="66" t="inlineStr">
        <is>
          <t>Grup 7</t>
        </is>
      </c>
      <c r="C397" s="65" t="n">
        <v>4</v>
      </c>
      <c r="D397" s="30" t="n"/>
      <c r="E397" s="30" t="n"/>
      <c r="F397" s="30" t="n"/>
      <c r="G397" s="32" t="n"/>
      <c r="H397" s="30" t="n"/>
    </row>
    <row r="398" ht="17" customHeight="1">
      <c r="A398" s="63" t="inlineStr">
        <is>
          <t>KÜÇÜK ERKEKLER</t>
        </is>
      </c>
      <c r="B398" s="66" t="inlineStr">
        <is>
          <t>Grup 7</t>
        </is>
      </c>
      <c r="C398" s="65" t="n">
        <v>5</v>
      </c>
      <c r="D398" s="30" t="n"/>
      <c r="E398" s="30" t="n"/>
      <c r="F398" s="30" t="n"/>
      <c r="G398" s="32" t="n"/>
      <c r="H398" s="30" t="n"/>
    </row>
    <row r="399" ht="17" customHeight="1">
      <c r="A399" s="63" t="inlineStr">
        <is>
          <t>KÜÇÜK ERKEKLER</t>
        </is>
      </c>
      <c r="B399" s="66" t="inlineStr">
        <is>
          <t>Grup 7</t>
        </is>
      </c>
      <c r="C399" s="65" t="n">
        <v>6</v>
      </c>
      <c r="D399" s="30" t="n"/>
      <c r="E399" s="30" t="n"/>
      <c r="F399" s="30" t="n"/>
      <c r="G399" s="32" t="n"/>
      <c r="H399" s="30" t="n"/>
    </row>
    <row r="400" ht="17" customHeight="1">
      <c r="A400" s="63" t="inlineStr">
        <is>
          <t>KÜÇÜK ERKEKLER</t>
        </is>
      </c>
      <c r="B400" s="66" t="inlineStr">
        <is>
          <t>Grup 7</t>
        </is>
      </c>
      <c r="C400" s="65" t="n">
        <v>7</v>
      </c>
      <c r="D400" s="30" t="n"/>
      <c r="E400" s="30" t="n"/>
      <c r="F400" s="30" t="n"/>
      <c r="G400" s="32" t="n"/>
      <c r="H400" s="30" t="n"/>
    </row>
    <row r="401" ht="17" customHeight="1">
      <c r="A401" s="63" t="inlineStr">
        <is>
          <t>KÜÇÜK ERKEKLER</t>
        </is>
      </c>
      <c r="B401" s="66" t="inlineStr">
        <is>
          <t>Grup 7</t>
        </is>
      </c>
      <c r="C401" s="65" t="n">
        <v>8</v>
      </c>
      <c r="D401" s="30" t="n"/>
      <c r="E401" s="30" t="n"/>
      <c r="F401" s="30" t="n"/>
      <c r="G401" s="32" t="n"/>
      <c r="H401" s="30" t="n"/>
    </row>
    <row r="402" ht="17" customHeight="1">
      <c r="A402" s="73" t="inlineStr">
        <is>
          <t>KÜÇÜK ERKEKLER</t>
        </is>
      </c>
      <c r="B402" s="74" t="inlineStr">
        <is>
          <t>Grup 8</t>
        </is>
      </c>
      <c r="C402" s="75" t="n">
        <v>1</v>
      </c>
      <c r="D402" s="76" t="n"/>
      <c r="E402" s="76" t="n"/>
      <c r="F402" s="76" t="n"/>
      <c r="G402" s="77" t="n"/>
      <c r="H402" s="76" t="n"/>
    </row>
    <row r="403" ht="17" customHeight="1">
      <c r="A403" s="73" t="inlineStr">
        <is>
          <t>KÜÇÜK ERKEKLER</t>
        </is>
      </c>
      <c r="B403" s="78" t="inlineStr">
        <is>
          <t>Grup 8</t>
        </is>
      </c>
      <c r="C403" s="75" t="n">
        <v>2</v>
      </c>
      <c r="D403" s="76" t="n"/>
      <c r="E403" s="76" t="n"/>
      <c r="F403" s="76" t="n"/>
      <c r="G403" s="77" t="n"/>
      <c r="H403" s="76" t="n"/>
    </row>
    <row r="404" ht="17" customHeight="1">
      <c r="A404" s="73" t="inlineStr">
        <is>
          <t>KÜÇÜK ERKEKLER</t>
        </is>
      </c>
      <c r="B404" s="78" t="inlineStr">
        <is>
          <t>Grup 8</t>
        </is>
      </c>
      <c r="C404" s="75" t="n">
        <v>3</v>
      </c>
      <c r="D404" s="76" t="n"/>
      <c r="E404" s="76" t="n"/>
      <c r="F404" s="76" t="n"/>
      <c r="G404" s="77" t="n"/>
      <c r="H404" s="76" t="n"/>
    </row>
    <row r="405" ht="17" customHeight="1">
      <c r="A405" s="73" t="inlineStr">
        <is>
          <t>KÜÇÜK ERKEKLER</t>
        </is>
      </c>
      <c r="B405" s="78" t="inlineStr">
        <is>
          <t>Grup 8</t>
        </is>
      </c>
      <c r="C405" s="75" t="n">
        <v>4</v>
      </c>
      <c r="D405" s="76" t="n"/>
      <c r="E405" s="76" t="n"/>
      <c r="F405" s="76" t="n"/>
      <c r="G405" s="77" t="n"/>
      <c r="H405" s="76" t="n"/>
    </row>
    <row r="406" ht="17" customHeight="1">
      <c r="A406" s="73" t="inlineStr">
        <is>
          <t>KÜÇÜK ERKEKLER</t>
        </is>
      </c>
      <c r="B406" s="78" t="inlineStr">
        <is>
          <t>Grup 8</t>
        </is>
      </c>
      <c r="C406" s="75" t="n">
        <v>5</v>
      </c>
      <c r="D406" s="76" t="n"/>
      <c r="E406" s="76" t="n"/>
      <c r="F406" s="76" t="n"/>
      <c r="G406" s="77" t="n"/>
      <c r="H406" s="76" t="n"/>
    </row>
    <row r="407" ht="17" customHeight="1">
      <c r="A407" s="73" t="inlineStr">
        <is>
          <t>KÜÇÜK ERKEKLER</t>
        </is>
      </c>
      <c r="B407" s="78" t="inlineStr">
        <is>
          <t>Grup 8</t>
        </is>
      </c>
      <c r="C407" s="75" t="n">
        <v>6</v>
      </c>
      <c r="D407" s="76" t="n"/>
      <c r="E407" s="76" t="n"/>
      <c r="F407" s="76" t="n"/>
      <c r="G407" s="77" t="n"/>
      <c r="H407" s="76" t="n"/>
    </row>
    <row r="408" ht="17" customHeight="1">
      <c r="A408" s="73" t="inlineStr">
        <is>
          <t>KÜÇÜK ERKEKLER</t>
        </is>
      </c>
      <c r="B408" s="78" t="inlineStr">
        <is>
          <t>Grup 8</t>
        </is>
      </c>
      <c r="C408" s="75" t="n">
        <v>7</v>
      </c>
      <c r="D408" s="76" t="n"/>
      <c r="E408" s="76" t="n"/>
      <c r="F408" s="76" t="n"/>
      <c r="G408" s="77" t="n"/>
      <c r="H408" s="76" t="n"/>
    </row>
    <row r="409" ht="17" customHeight="1">
      <c r="A409" s="73" t="inlineStr">
        <is>
          <t>KÜÇÜK ERKEKLER</t>
        </is>
      </c>
      <c r="B409" s="78" t="inlineStr">
        <is>
          <t>Grup 8</t>
        </is>
      </c>
      <c r="C409" s="75" t="n">
        <v>8</v>
      </c>
      <c r="D409" s="76" t="n"/>
      <c r="E409" s="76" t="n"/>
      <c r="F409" s="76" t="n"/>
      <c r="G409" s="77" t="n"/>
      <c r="H409" s="76" t="n"/>
    </row>
    <row r="412" ht="22" customHeight="1">
      <c r="A412" s="49" t="inlineStr">
        <is>
          <t>YILDIZ KIZLAR</t>
        </is>
      </c>
    </row>
    <row r="413" ht="20" customHeight="1">
      <c r="A413" s="62" t="inlineStr">
        <is>
          <t>KATEGORİ</t>
        </is>
      </c>
      <c r="B413" s="62" t="inlineStr">
        <is>
          <t>GRUP</t>
        </is>
      </c>
      <c r="C413" s="62" t="inlineStr">
        <is>
          <t>SIRA</t>
        </is>
      </c>
      <c r="D413" s="62" t="inlineStr">
        <is>
          <t>AD</t>
        </is>
      </c>
      <c r="E413" s="62" t="inlineStr">
        <is>
          <t>SOYAD</t>
        </is>
      </c>
      <c r="F413" s="62" t="inlineStr">
        <is>
          <t>OKUL / KULÜP</t>
        </is>
      </c>
      <c r="G413" s="62" t="inlineStr">
        <is>
          <t>TÜR</t>
        </is>
      </c>
      <c r="H413" s="62" t="inlineStr">
        <is>
          <t>ANTRENÖR / ÖĞR.</t>
        </is>
      </c>
    </row>
    <row r="414" ht="17" customHeight="1">
      <c r="A414" s="63" t="inlineStr">
        <is>
          <t>YILDIZ KIZLAR</t>
        </is>
      </c>
      <c r="B414" s="64" t="inlineStr">
        <is>
          <t>Grup 1</t>
        </is>
      </c>
      <c r="C414" s="65" t="n">
        <v>1</v>
      </c>
      <c r="D414" s="30" t="n"/>
      <c r="E414" s="30" t="n"/>
      <c r="F414" s="30" t="n"/>
      <c r="G414" s="32" t="n"/>
      <c r="H414" s="30" t="n"/>
    </row>
    <row r="415" ht="17" customHeight="1">
      <c r="A415" s="63" t="inlineStr">
        <is>
          <t>YILDIZ KIZLAR</t>
        </is>
      </c>
      <c r="B415" s="66" t="inlineStr">
        <is>
          <t>Grup 1</t>
        </is>
      </c>
      <c r="C415" s="65" t="n">
        <v>2</v>
      </c>
      <c r="D415" s="30" t="n"/>
      <c r="E415" s="30" t="n"/>
      <c r="F415" s="30" t="n"/>
      <c r="G415" s="32" t="n"/>
      <c r="H415" s="30" t="n"/>
    </row>
    <row r="416" ht="17" customHeight="1">
      <c r="A416" s="63" t="inlineStr">
        <is>
          <t>YILDIZ KIZLAR</t>
        </is>
      </c>
      <c r="B416" s="66" t="inlineStr">
        <is>
          <t>Grup 1</t>
        </is>
      </c>
      <c r="C416" s="65" t="n">
        <v>3</v>
      </c>
      <c r="D416" s="30" t="n"/>
      <c r="E416" s="30" t="n"/>
      <c r="F416" s="30" t="n"/>
      <c r="G416" s="32" t="n"/>
      <c r="H416" s="30" t="n"/>
    </row>
    <row r="417" ht="17" customHeight="1">
      <c r="A417" s="63" t="inlineStr">
        <is>
          <t>YILDIZ KIZLAR</t>
        </is>
      </c>
      <c r="B417" s="66" t="inlineStr">
        <is>
          <t>Grup 1</t>
        </is>
      </c>
      <c r="C417" s="65" t="n">
        <v>4</v>
      </c>
      <c r="D417" s="30" t="n"/>
      <c r="E417" s="30" t="n"/>
      <c r="F417" s="30" t="n"/>
      <c r="G417" s="32" t="n"/>
      <c r="H417" s="30" t="n"/>
    </row>
    <row r="418" ht="17" customHeight="1">
      <c r="A418" s="63" t="inlineStr">
        <is>
          <t>YILDIZ KIZLAR</t>
        </is>
      </c>
      <c r="B418" s="66" t="inlineStr">
        <is>
          <t>Grup 1</t>
        </is>
      </c>
      <c r="C418" s="65" t="n">
        <v>5</v>
      </c>
      <c r="D418" s="30" t="n"/>
      <c r="E418" s="30" t="n"/>
      <c r="F418" s="30" t="n"/>
      <c r="G418" s="32" t="n"/>
      <c r="H418" s="30" t="n"/>
    </row>
    <row r="419" ht="17" customHeight="1">
      <c r="A419" s="63" t="inlineStr">
        <is>
          <t>YILDIZ KIZLAR</t>
        </is>
      </c>
      <c r="B419" s="66" t="inlineStr">
        <is>
          <t>Grup 1</t>
        </is>
      </c>
      <c r="C419" s="65" t="n">
        <v>6</v>
      </c>
      <c r="D419" s="30" t="n"/>
      <c r="E419" s="30" t="n"/>
      <c r="F419" s="30" t="n"/>
      <c r="G419" s="32" t="n"/>
      <c r="H419" s="30" t="n"/>
    </row>
    <row r="420" ht="17" customHeight="1">
      <c r="A420" s="63" t="inlineStr">
        <is>
          <t>YILDIZ KIZLAR</t>
        </is>
      </c>
      <c r="B420" s="66" t="inlineStr">
        <is>
          <t>Grup 1</t>
        </is>
      </c>
      <c r="C420" s="65" t="n">
        <v>7</v>
      </c>
      <c r="D420" s="30" t="n"/>
      <c r="E420" s="30" t="n"/>
      <c r="F420" s="30" t="n"/>
      <c r="G420" s="32" t="n"/>
      <c r="H420" s="30" t="n"/>
    </row>
    <row r="421" ht="17" customHeight="1">
      <c r="A421" s="63" t="inlineStr">
        <is>
          <t>YILDIZ KIZLAR</t>
        </is>
      </c>
      <c r="B421" s="66" t="inlineStr">
        <is>
          <t>Grup 1</t>
        </is>
      </c>
      <c r="C421" s="65" t="n">
        <v>8</v>
      </c>
      <c r="D421" s="30" t="n"/>
      <c r="E421" s="30" t="n"/>
      <c r="F421" s="30" t="n"/>
      <c r="G421" s="32" t="n"/>
      <c r="H421" s="30" t="n"/>
    </row>
    <row r="422" ht="17" customHeight="1">
      <c r="A422" s="67" t="inlineStr">
        <is>
          <t>YILDIZ KIZLAR</t>
        </is>
      </c>
      <c r="B422" s="68" t="inlineStr">
        <is>
          <t>Grup 2</t>
        </is>
      </c>
      <c r="C422" s="69" t="n">
        <v>1</v>
      </c>
      <c r="D422" s="70" t="n"/>
      <c r="E422" s="70" t="n"/>
      <c r="F422" s="70" t="n"/>
      <c r="G422" s="71" t="n"/>
      <c r="H422" s="70" t="n"/>
    </row>
    <row r="423" ht="17" customHeight="1">
      <c r="A423" s="67" t="inlineStr">
        <is>
          <t>YILDIZ KIZLAR</t>
        </is>
      </c>
      <c r="B423" s="72" t="inlineStr">
        <is>
          <t>Grup 2</t>
        </is>
      </c>
      <c r="C423" s="69" t="n">
        <v>2</v>
      </c>
      <c r="D423" s="70" t="n"/>
      <c r="E423" s="70" t="n"/>
      <c r="F423" s="70" t="n"/>
      <c r="G423" s="71" t="n"/>
      <c r="H423" s="70" t="n"/>
    </row>
    <row r="424" ht="17" customHeight="1">
      <c r="A424" s="67" t="inlineStr">
        <is>
          <t>YILDIZ KIZLAR</t>
        </is>
      </c>
      <c r="B424" s="72" t="inlineStr">
        <is>
          <t>Grup 2</t>
        </is>
      </c>
      <c r="C424" s="69" t="n">
        <v>3</v>
      </c>
      <c r="D424" s="70" t="n"/>
      <c r="E424" s="70" t="n"/>
      <c r="F424" s="70" t="n"/>
      <c r="G424" s="71" t="n"/>
      <c r="H424" s="70" t="n"/>
    </row>
    <row r="425" ht="17" customHeight="1">
      <c r="A425" s="67" t="inlineStr">
        <is>
          <t>YILDIZ KIZLAR</t>
        </is>
      </c>
      <c r="B425" s="72" t="inlineStr">
        <is>
          <t>Grup 2</t>
        </is>
      </c>
      <c r="C425" s="69" t="n">
        <v>4</v>
      </c>
      <c r="D425" s="70" t="n"/>
      <c r="E425" s="70" t="n"/>
      <c r="F425" s="70" t="n"/>
      <c r="G425" s="71" t="n"/>
      <c r="H425" s="70" t="n"/>
    </row>
    <row r="426" ht="17" customHeight="1">
      <c r="A426" s="67" t="inlineStr">
        <is>
          <t>YILDIZ KIZLAR</t>
        </is>
      </c>
      <c r="B426" s="72" t="inlineStr">
        <is>
          <t>Grup 2</t>
        </is>
      </c>
      <c r="C426" s="69" t="n">
        <v>5</v>
      </c>
      <c r="D426" s="70" t="n"/>
      <c r="E426" s="70" t="n"/>
      <c r="F426" s="70" t="n"/>
      <c r="G426" s="71" t="n"/>
      <c r="H426" s="70" t="n"/>
    </row>
    <row r="427" ht="17" customHeight="1">
      <c r="A427" s="67" t="inlineStr">
        <is>
          <t>YILDIZ KIZLAR</t>
        </is>
      </c>
      <c r="B427" s="72" t="inlineStr">
        <is>
          <t>Grup 2</t>
        </is>
      </c>
      <c r="C427" s="69" t="n">
        <v>6</v>
      </c>
      <c r="D427" s="70" t="n"/>
      <c r="E427" s="70" t="n"/>
      <c r="F427" s="70" t="n"/>
      <c r="G427" s="71" t="n"/>
      <c r="H427" s="70" t="n"/>
    </row>
    <row r="428" ht="17" customHeight="1">
      <c r="A428" s="67" t="inlineStr">
        <is>
          <t>YILDIZ KIZLAR</t>
        </is>
      </c>
      <c r="B428" s="72" t="inlineStr">
        <is>
          <t>Grup 2</t>
        </is>
      </c>
      <c r="C428" s="69" t="n">
        <v>7</v>
      </c>
      <c r="D428" s="70" t="n"/>
      <c r="E428" s="70" t="n"/>
      <c r="F428" s="70" t="n"/>
      <c r="G428" s="71" t="n"/>
      <c r="H428" s="70" t="n"/>
    </row>
    <row r="429" ht="17" customHeight="1">
      <c r="A429" s="67" t="inlineStr">
        <is>
          <t>YILDIZ KIZLAR</t>
        </is>
      </c>
      <c r="B429" s="72" t="inlineStr">
        <is>
          <t>Grup 2</t>
        </is>
      </c>
      <c r="C429" s="69" t="n">
        <v>8</v>
      </c>
      <c r="D429" s="70" t="n"/>
      <c r="E429" s="70" t="n"/>
      <c r="F429" s="70" t="n"/>
      <c r="G429" s="71" t="n"/>
      <c r="H429" s="70" t="n"/>
    </row>
    <row r="430" ht="17" customHeight="1">
      <c r="A430" s="63" t="inlineStr">
        <is>
          <t>YILDIZ KIZLAR</t>
        </is>
      </c>
      <c r="B430" s="64" t="inlineStr">
        <is>
          <t>Grup 3</t>
        </is>
      </c>
      <c r="C430" s="65" t="n">
        <v>1</v>
      </c>
      <c r="D430" s="30" t="n"/>
      <c r="E430" s="30" t="n"/>
      <c r="F430" s="30" t="n"/>
      <c r="G430" s="32" t="n"/>
      <c r="H430" s="30" t="n"/>
    </row>
    <row r="431" ht="17" customHeight="1">
      <c r="A431" s="63" t="inlineStr">
        <is>
          <t>YILDIZ KIZLAR</t>
        </is>
      </c>
      <c r="B431" s="66" t="inlineStr">
        <is>
          <t>Grup 3</t>
        </is>
      </c>
      <c r="C431" s="65" t="n">
        <v>2</v>
      </c>
      <c r="D431" s="30" t="n"/>
      <c r="E431" s="30" t="n"/>
      <c r="F431" s="30" t="n"/>
      <c r="G431" s="32" t="n"/>
      <c r="H431" s="30" t="n"/>
    </row>
    <row r="432" ht="17" customHeight="1">
      <c r="A432" s="63" t="inlineStr">
        <is>
          <t>YILDIZ KIZLAR</t>
        </is>
      </c>
      <c r="B432" s="66" t="inlineStr">
        <is>
          <t>Grup 3</t>
        </is>
      </c>
      <c r="C432" s="65" t="n">
        <v>3</v>
      </c>
      <c r="D432" s="30" t="n"/>
      <c r="E432" s="30" t="n"/>
      <c r="F432" s="30" t="n"/>
      <c r="G432" s="32" t="n"/>
      <c r="H432" s="30" t="n"/>
    </row>
    <row r="433" ht="17" customHeight="1">
      <c r="A433" s="63" t="inlineStr">
        <is>
          <t>YILDIZ KIZLAR</t>
        </is>
      </c>
      <c r="B433" s="66" t="inlineStr">
        <is>
          <t>Grup 3</t>
        </is>
      </c>
      <c r="C433" s="65" t="n">
        <v>4</v>
      </c>
      <c r="D433" s="30" t="n"/>
      <c r="E433" s="30" t="n"/>
      <c r="F433" s="30" t="n"/>
      <c r="G433" s="32" t="n"/>
      <c r="H433" s="30" t="n"/>
    </row>
    <row r="434" ht="17" customHeight="1">
      <c r="A434" s="63" t="inlineStr">
        <is>
          <t>YILDIZ KIZLAR</t>
        </is>
      </c>
      <c r="B434" s="66" t="inlineStr">
        <is>
          <t>Grup 3</t>
        </is>
      </c>
      <c r="C434" s="65" t="n">
        <v>5</v>
      </c>
      <c r="D434" s="30" t="n"/>
      <c r="E434" s="30" t="n"/>
      <c r="F434" s="30" t="n"/>
      <c r="G434" s="32" t="n"/>
      <c r="H434" s="30" t="n"/>
    </row>
    <row r="435" ht="17" customHeight="1">
      <c r="A435" s="63" t="inlineStr">
        <is>
          <t>YILDIZ KIZLAR</t>
        </is>
      </c>
      <c r="B435" s="66" t="inlineStr">
        <is>
          <t>Grup 3</t>
        </is>
      </c>
      <c r="C435" s="65" t="n">
        <v>6</v>
      </c>
      <c r="D435" s="30" t="n"/>
      <c r="E435" s="30" t="n"/>
      <c r="F435" s="30" t="n"/>
      <c r="G435" s="32" t="n"/>
      <c r="H435" s="30" t="n"/>
    </row>
    <row r="436" ht="17" customHeight="1">
      <c r="A436" s="63" t="inlineStr">
        <is>
          <t>YILDIZ KIZLAR</t>
        </is>
      </c>
      <c r="B436" s="66" t="inlineStr">
        <is>
          <t>Grup 3</t>
        </is>
      </c>
      <c r="C436" s="65" t="n">
        <v>7</v>
      </c>
      <c r="D436" s="30" t="n"/>
      <c r="E436" s="30" t="n"/>
      <c r="F436" s="30" t="n"/>
      <c r="G436" s="32" t="n"/>
      <c r="H436" s="30" t="n"/>
    </row>
    <row r="437" ht="17" customHeight="1">
      <c r="A437" s="63" t="inlineStr">
        <is>
          <t>YILDIZ KIZLAR</t>
        </is>
      </c>
      <c r="B437" s="66" t="inlineStr">
        <is>
          <t>Grup 3</t>
        </is>
      </c>
      <c r="C437" s="65" t="n">
        <v>8</v>
      </c>
      <c r="D437" s="30" t="n"/>
      <c r="E437" s="30" t="n"/>
      <c r="F437" s="30" t="n"/>
      <c r="G437" s="32" t="n"/>
      <c r="H437" s="30" t="n"/>
    </row>
    <row r="438" ht="17" customHeight="1">
      <c r="A438" s="67" t="inlineStr">
        <is>
          <t>YILDIZ KIZLAR</t>
        </is>
      </c>
      <c r="B438" s="68" t="inlineStr">
        <is>
          <t>Grup 4</t>
        </is>
      </c>
      <c r="C438" s="69" t="n">
        <v>1</v>
      </c>
      <c r="D438" s="70" t="n"/>
      <c r="E438" s="70" t="n"/>
      <c r="F438" s="70" t="n"/>
      <c r="G438" s="71" t="n"/>
      <c r="H438" s="70" t="n"/>
    </row>
    <row r="439" ht="17" customHeight="1">
      <c r="A439" s="67" t="inlineStr">
        <is>
          <t>YILDIZ KIZLAR</t>
        </is>
      </c>
      <c r="B439" s="72" t="inlineStr">
        <is>
          <t>Grup 4</t>
        </is>
      </c>
      <c r="C439" s="69" t="n">
        <v>2</v>
      </c>
      <c r="D439" s="70" t="n"/>
      <c r="E439" s="70" t="n"/>
      <c r="F439" s="70" t="n"/>
      <c r="G439" s="71" t="n"/>
      <c r="H439" s="70" t="n"/>
    </row>
    <row r="440" ht="17" customHeight="1">
      <c r="A440" s="67" t="inlineStr">
        <is>
          <t>YILDIZ KIZLAR</t>
        </is>
      </c>
      <c r="B440" s="72" t="inlineStr">
        <is>
          <t>Grup 4</t>
        </is>
      </c>
      <c r="C440" s="69" t="n">
        <v>3</v>
      </c>
      <c r="D440" s="70" t="n"/>
      <c r="E440" s="70" t="n"/>
      <c r="F440" s="70" t="n"/>
      <c r="G440" s="71" t="n"/>
      <c r="H440" s="70" t="n"/>
    </row>
    <row r="441" ht="17" customHeight="1">
      <c r="A441" s="67" t="inlineStr">
        <is>
          <t>YILDIZ KIZLAR</t>
        </is>
      </c>
      <c r="B441" s="72" t="inlineStr">
        <is>
          <t>Grup 4</t>
        </is>
      </c>
      <c r="C441" s="69" t="n">
        <v>4</v>
      </c>
      <c r="D441" s="70" t="n"/>
      <c r="E441" s="70" t="n"/>
      <c r="F441" s="70" t="n"/>
      <c r="G441" s="71" t="n"/>
      <c r="H441" s="70" t="n"/>
    </row>
    <row r="442" ht="17" customHeight="1">
      <c r="A442" s="67" t="inlineStr">
        <is>
          <t>YILDIZ KIZLAR</t>
        </is>
      </c>
      <c r="B442" s="72" t="inlineStr">
        <is>
          <t>Grup 4</t>
        </is>
      </c>
      <c r="C442" s="69" t="n">
        <v>5</v>
      </c>
      <c r="D442" s="70" t="n"/>
      <c r="E442" s="70" t="n"/>
      <c r="F442" s="70" t="n"/>
      <c r="G442" s="71" t="n"/>
      <c r="H442" s="70" t="n"/>
    </row>
    <row r="443" ht="17" customHeight="1">
      <c r="A443" s="67" t="inlineStr">
        <is>
          <t>YILDIZ KIZLAR</t>
        </is>
      </c>
      <c r="B443" s="72" t="inlineStr">
        <is>
          <t>Grup 4</t>
        </is>
      </c>
      <c r="C443" s="69" t="n">
        <v>6</v>
      </c>
      <c r="D443" s="70" t="n"/>
      <c r="E443" s="70" t="n"/>
      <c r="F443" s="70" t="n"/>
      <c r="G443" s="71" t="n"/>
      <c r="H443" s="70" t="n"/>
    </row>
    <row r="444" ht="17" customHeight="1">
      <c r="A444" s="67" t="inlineStr">
        <is>
          <t>YILDIZ KIZLAR</t>
        </is>
      </c>
      <c r="B444" s="72" t="inlineStr">
        <is>
          <t>Grup 4</t>
        </is>
      </c>
      <c r="C444" s="69" t="n">
        <v>7</v>
      </c>
      <c r="D444" s="70" t="n"/>
      <c r="E444" s="70" t="n"/>
      <c r="F444" s="70" t="n"/>
      <c r="G444" s="71" t="n"/>
      <c r="H444" s="70" t="n"/>
    </row>
    <row r="445" ht="17" customHeight="1">
      <c r="A445" s="67" t="inlineStr">
        <is>
          <t>YILDIZ KIZLAR</t>
        </is>
      </c>
      <c r="B445" s="72" t="inlineStr">
        <is>
          <t>Grup 4</t>
        </is>
      </c>
      <c r="C445" s="69" t="n">
        <v>8</v>
      </c>
      <c r="D445" s="70" t="n"/>
      <c r="E445" s="70" t="n"/>
      <c r="F445" s="70" t="n"/>
      <c r="G445" s="71" t="n"/>
      <c r="H445" s="70" t="n"/>
    </row>
    <row r="446" ht="17" customHeight="1">
      <c r="A446" s="63" t="inlineStr">
        <is>
          <t>YILDIZ KIZLAR</t>
        </is>
      </c>
      <c r="B446" s="64" t="inlineStr">
        <is>
          <t>Grup 5</t>
        </is>
      </c>
      <c r="C446" s="65" t="n">
        <v>1</v>
      </c>
      <c r="D446" s="30" t="n"/>
      <c r="E446" s="30" t="n"/>
      <c r="F446" s="30" t="n"/>
      <c r="G446" s="32" t="n"/>
      <c r="H446" s="30" t="n"/>
    </row>
    <row r="447" ht="17" customHeight="1">
      <c r="A447" s="63" t="inlineStr">
        <is>
          <t>YILDIZ KIZLAR</t>
        </is>
      </c>
      <c r="B447" s="66" t="inlineStr">
        <is>
          <t>Grup 5</t>
        </is>
      </c>
      <c r="C447" s="65" t="n">
        <v>2</v>
      </c>
      <c r="D447" s="30" t="n"/>
      <c r="E447" s="30" t="n"/>
      <c r="F447" s="30" t="n"/>
      <c r="G447" s="32" t="n"/>
      <c r="H447" s="30" t="n"/>
    </row>
    <row r="448" ht="17" customHeight="1">
      <c r="A448" s="63" t="inlineStr">
        <is>
          <t>YILDIZ KIZLAR</t>
        </is>
      </c>
      <c r="B448" s="66" t="inlineStr">
        <is>
          <t>Grup 5</t>
        </is>
      </c>
      <c r="C448" s="65" t="n">
        <v>3</v>
      </c>
      <c r="D448" s="30" t="n"/>
      <c r="E448" s="30" t="n"/>
      <c r="F448" s="30" t="n"/>
      <c r="G448" s="32" t="n"/>
      <c r="H448" s="30" t="n"/>
    </row>
    <row r="449" ht="17" customHeight="1">
      <c r="A449" s="63" t="inlineStr">
        <is>
          <t>YILDIZ KIZLAR</t>
        </is>
      </c>
      <c r="B449" s="66" t="inlineStr">
        <is>
          <t>Grup 5</t>
        </is>
      </c>
      <c r="C449" s="65" t="n">
        <v>4</v>
      </c>
      <c r="D449" s="30" t="n"/>
      <c r="E449" s="30" t="n"/>
      <c r="F449" s="30" t="n"/>
      <c r="G449" s="32" t="n"/>
      <c r="H449" s="30" t="n"/>
    </row>
    <row r="450" ht="17" customHeight="1">
      <c r="A450" s="63" t="inlineStr">
        <is>
          <t>YILDIZ KIZLAR</t>
        </is>
      </c>
      <c r="B450" s="66" t="inlineStr">
        <is>
          <t>Grup 5</t>
        </is>
      </c>
      <c r="C450" s="65" t="n">
        <v>5</v>
      </c>
      <c r="D450" s="30" t="n"/>
      <c r="E450" s="30" t="n"/>
      <c r="F450" s="30" t="n"/>
      <c r="G450" s="32" t="n"/>
      <c r="H450" s="30" t="n"/>
    </row>
    <row r="451" ht="17" customHeight="1">
      <c r="A451" s="63" t="inlineStr">
        <is>
          <t>YILDIZ KIZLAR</t>
        </is>
      </c>
      <c r="B451" s="66" t="inlineStr">
        <is>
          <t>Grup 5</t>
        </is>
      </c>
      <c r="C451" s="65" t="n">
        <v>6</v>
      </c>
      <c r="D451" s="30" t="n"/>
      <c r="E451" s="30" t="n"/>
      <c r="F451" s="30" t="n"/>
      <c r="G451" s="32" t="n"/>
      <c r="H451" s="30" t="n"/>
    </row>
    <row r="452" ht="17" customHeight="1">
      <c r="A452" s="63" t="inlineStr">
        <is>
          <t>YILDIZ KIZLAR</t>
        </is>
      </c>
      <c r="B452" s="66" t="inlineStr">
        <is>
          <t>Grup 5</t>
        </is>
      </c>
      <c r="C452" s="65" t="n">
        <v>7</v>
      </c>
      <c r="D452" s="30" t="n"/>
      <c r="E452" s="30" t="n"/>
      <c r="F452" s="30" t="n"/>
      <c r="G452" s="32" t="n"/>
      <c r="H452" s="30" t="n"/>
    </row>
    <row r="453" ht="17" customHeight="1">
      <c r="A453" s="63" t="inlineStr">
        <is>
          <t>YILDIZ KIZLAR</t>
        </is>
      </c>
      <c r="B453" s="66" t="inlineStr">
        <is>
          <t>Grup 5</t>
        </is>
      </c>
      <c r="C453" s="65" t="n">
        <v>8</v>
      </c>
      <c r="D453" s="30" t="n"/>
      <c r="E453" s="30" t="n"/>
      <c r="F453" s="30" t="n"/>
      <c r="G453" s="32" t="n"/>
      <c r="H453" s="30" t="n"/>
    </row>
    <row r="454" ht="17" customHeight="1">
      <c r="A454" s="67" t="inlineStr">
        <is>
          <t>YILDIZ KIZLAR</t>
        </is>
      </c>
      <c r="B454" s="68" t="inlineStr">
        <is>
          <t>Grup 6</t>
        </is>
      </c>
      <c r="C454" s="69" t="n">
        <v>1</v>
      </c>
      <c r="D454" s="70" t="n"/>
      <c r="E454" s="70" t="n"/>
      <c r="F454" s="70" t="n"/>
      <c r="G454" s="71" t="n"/>
      <c r="H454" s="70" t="n"/>
    </row>
    <row r="455" ht="17" customHeight="1">
      <c r="A455" s="67" t="inlineStr">
        <is>
          <t>YILDIZ KIZLAR</t>
        </is>
      </c>
      <c r="B455" s="72" t="inlineStr">
        <is>
          <t>Grup 6</t>
        </is>
      </c>
      <c r="C455" s="69" t="n">
        <v>2</v>
      </c>
      <c r="D455" s="70" t="n"/>
      <c r="E455" s="70" t="n"/>
      <c r="F455" s="70" t="n"/>
      <c r="G455" s="71" t="n"/>
      <c r="H455" s="70" t="n"/>
    </row>
    <row r="456" ht="17" customHeight="1">
      <c r="A456" s="67" t="inlineStr">
        <is>
          <t>YILDIZ KIZLAR</t>
        </is>
      </c>
      <c r="B456" s="72" t="inlineStr">
        <is>
          <t>Grup 6</t>
        </is>
      </c>
      <c r="C456" s="69" t="n">
        <v>3</v>
      </c>
      <c r="D456" s="70" t="n"/>
      <c r="E456" s="70" t="n"/>
      <c r="F456" s="70" t="n"/>
      <c r="G456" s="71" t="n"/>
      <c r="H456" s="70" t="n"/>
    </row>
    <row r="457" ht="17" customHeight="1">
      <c r="A457" s="67" t="inlineStr">
        <is>
          <t>YILDIZ KIZLAR</t>
        </is>
      </c>
      <c r="B457" s="72" t="inlineStr">
        <is>
          <t>Grup 6</t>
        </is>
      </c>
      <c r="C457" s="69" t="n">
        <v>4</v>
      </c>
      <c r="D457" s="70" t="n"/>
      <c r="E457" s="70" t="n"/>
      <c r="F457" s="70" t="n"/>
      <c r="G457" s="71" t="n"/>
      <c r="H457" s="70" t="n"/>
    </row>
    <row r="458" ht="17" customHeight="1">
      <c r="A458" s="67" t="inlineStr">
        <is>
          <t>YILDIZ KIZLAR</t>
        </is>
      </c>
      <c r="B458" s="72" t="inlineStr">
        <is>
          <t>Grup 6</t>
        </is>
      </c>
      <c r="C458" s="69" t="n">
        <v>5</v>
      </c>
      <c r="D458" s="70" t="n"/>
      <c r="E458" s="70" t="n"/>
      <c r="F458" s="70" t="n"/>
      <c r="G458" s="71" t="n"/>
      <c r="H458" s="70" t="n"/>
    </row>
    <row r="459" ht="17" customHeight="1">
      <c r="A459" s="67" t="inlineStr">
        <is>
          <t>YILDIZ KIZLAR</t>
        </is>
      </c>
      <c r="B459" s="72" t="inlineStr">
        <is>
          <t>Grup 6</t>
        </is>
      </c>
      <c r="C459" s="69" t="n">
        <v>6</v>
      </c>
      <c r="D459" s="70" t="n"/>
      <c r="E459" s="70" t="n"/>
      <c r="F459" s="70" t="n"/>
      <c r="G459" s="71" t="n"/>
      <c r="H459" s="70" t="n"/>
    </row>
    <row r="460" ht="17" customHeight="1">
      <c r="A460" s="67" t="inlineStr">
        <is>
          <t>YILDIZ KIZLAR</t>
        </is>
      </c>
      <c r="B460" s="72" t="inlineStr">
        <is>
          <t>Grup 6</t>
        </is>
      </c>
      <c r="C460" s="69" t="n">
        <v>7</v>
      </c>
      <c r="D460" s="70" t="n"/>
      <c r="E460" s="70" t="n"/>
      <c r="F460" s="70" t="n"/>
      <c r="G460" s="71" t="n"/>
      <c r="H460" s="70" t="n"/>
    </row>
    <row r="461" ht="17" customHeight="1">
      <c r="A461" s="67" t="inlineStr">
        <is>
          <t>YILDIZ KIZLAR</t>
        </is>
      </c>
      <c r="B461" s="72" t="inlineStr">
        <is>
          <t>Grup 6</t>
        </is>
      </c>
      <c r="C461" s="69" t="n">
        <v>8</v>
      </c>
      <c r="D461" s="70" t="n"/>
      <c r="E461" s="70" t="n"/>
      <c r="F461" s="70" t="n"/>
      <c r="G461" s="71" t="n"/>
      <c r="H461" s="70" t="n"/>
    </row>
    <row r="462" ht="17" customHeight="1">
      <c r="A462" s="63" t="inlineStr">
        <is>
          <t>YILDIZ KIZLAR</t>
        </is>
      </c>
      <c r="B462" s="64" t="inlineStr">
        <is>
          <t>Grup 7</t>
        </is>
      </c>
      <c r="C462" s="65" t="n">
        <v>1</v>
      </c>
      <c r="D462" s="30" t="n"/>
      <c r="E462" s="30" t="n"/>
      <c r="F462" s="30" t="n"/>
      <c r="G462" s="32" t="n"/>
      <c r="H462" s="30" t="n"/>
    </row>
    <row r="463" ht="17" customHeight="1">
      <c r="A463" s="63" t="inlineStr">
        <is>
          <t>YILDIZ KIZLAR</t>
        </is>
      </c>
      <c r="B463" s="66" t="inlineStr">
        <is>
          <t>Grup 7</t>
        </is>
      </c>
      <c r="C463" s="65" t="n">
        <v>2</v>
      </c>
      <c r="D463" s="30" t="n"/>
      <c r="E463" s="30" t="n"/>
      <c r="F463" s="30" t="n"/>
      <c r="G463" s="32" t="n"/>
      <c r="H463" s="30" t="n"/>
    </row>
    <row r="464" ht="17" customHeight="1">
      <c r="A464" s="63" t="inlineStr">
        <is>
          <t>YILDIZ KIZLAR</t>
        </is>
      </c>
      <c r="B464" s="66" t="inlineStr">
        <is>
          <t>Grup 7</t>
        </is>
      </c>
      <c r="C464" s="65" t="n">
        <v>3</v>
      </c>
      <c r="D464" s="30" t="n"/>
      <c r="E464" s="30" t="n"/>
      <c r="F464" s="30" t="n"/>
      <c r="G464" s="32" t="n"/>
      <c r="H464" s="30" t="n"/>
    </row>
    <row r="465" ht="17" customHeight="1">
      <c r="A465" s="63" t="inlineStr">
        <is>
          <t>YILDIZ KIZLAR</t>
        </is>
      </c>
      <c r="B465" s="66" t="inlineStr">
        <is>
          <t>Grup 7</t>
        </is>
      </c>
      <c r="C465" s="65" t="n">
        <v>4</v>
      </c>
      <c r="D465" s="30" t="n"/>
      <c r="E465" s="30" t="n"/>
      <c r="F465" s="30" t="n"/>
      <c r="G465" s="32" t="n"/>
      <c r="H465" s="30" t="n"/>
    </row>
    <row r="466" ht="17" customHeight="1">
      <c r="A466" s="63" t="inlineStr">
        <is>
          <t>YILDIZ KIZLAR</t>
        </is>
      </c>
      <c r="B466" s="66" t="inlineStr">
        <is>
          <t>Grup 7</t>
        </is>
      </c>
      <c r="C466" s="65" t="n">
        <v>5</v>
      </c>
      <c r="D466" s="30" t="n"/>
      <c r="E466" s="30" t="n"/>
      <c r="F466" s="30" t="n"/>
      <c r="G466" s="32" t="n"/>
      <c r="H466" s="30" t="n"/>
    </row>
    <row r="467" ht="17" customHeight="1">
      <c r="A467" s="63" t="inlineStr">
        <is>
          <t>YILDIZ KIZLAR</t>
        </is>
      </c>
      <c r="B467" s="66" t="inlineStr">
        <is>
          <t>Grup 7</t>
        </is>
      </c>
      <c r="C467" s="65" t="n">
        <v>6</v>
      </c>
      <c r="D467" s="30" t="n"/>
      <c r="E467" s="30" t="n"/>
      <c r="F467" s="30" t="n"/>
      <c r="G467" s="32" t="n"/>
      <c r="H467" s="30" t="n"/>
    </row>
    <row r="468" ht="17" customHeight="1">
      <c r="A468" s="63" t="inlineStr">
        <is>
          <t>YILDIZ KIZLAR</t>
        </is>
      </c>
      <c r="B468" s="66" t="inlineStr">
        <is>
          <t>Grup 7</t>
        </is>
      </c>
      <c r="C468" s="65" t="n">
        <v>7</v>
      </c>
      <c r="D468" s="30" t="n"/>
      <c r="E468" s="30" t="n"/>
      <c r="F468" s="30" t="n"/>
      <c r="G468" s="32" t="n"/>
      <c r="H468" s="30" t="n"/>
    </row>
    <row r="469" ht="17" customHeight="1">
      <c r="A469" s="63" t="inlineStr">
        <is>
          <t>YILDIZ KIZLAR</t>
        </is>
      </c>
      <c r="B469" s="66" t="inlineStr">
        <is>
          <t>Grup 7</t>
        </is>
      </c>
      <c r="C469" s="65" t="n">
        <v>8</v>
      </c>
      <c r="D469" s="30" t="n"/>
      <c r="E469" s="30" t="n"/>
      <c r="F469" s="30" t="n"/>
      <c r="G469" s="32" t="n"/>
      <c r="H469" s="30" t="n"/>
    </row>
    <row r="470" ht="17" customHeight="1">
      <c r="A470" s="67" t="inlineStr">
        <is>
          <t>YILDIZ KIZLAR</t>
        </is>
      </c>
      <c r="B470" s="68" t="inlineStr">
        <is>
          <t>Grup 8</t>
        </is>
      </c>
      <c r="C470" s="69" t="n">
        <v>1</v>
      </c>
      <c r="D470" s="70" t="n"/>
      <c r="E470" s="70" t="n"/>
      <c r="F470" s="70" t="n"/>
      <c r="G470" s="71" t="n"/>
      <c r="H470" s="70" t="n"/>
    </row>
    <row r="471" ht="17" customHeight="1">
      <c r="A471" s="67" t="inlineStr">
        <is>
          <t>YILDIZ KIZLAR</t>
        </is>
      </c>
      <c r="B471" s="72" t="inlineStr">
        <is>
          <t>Grup 8</t>
        </is>
      </c>
      <c r="C471" s="69" t="n">
        <v>2</v>
      </c>
      <c r="D471" s="70" t="n"/>
      <c r="E471" s="70" t="n"/>
      <c r="F471" s="70" t="n"/>
      <c r="G471" s="71" t="n"/>
      <c r="H471" s="70" t="n"/>
    </row>
    <row r="472" ht="17" customHeight="1">
      <c r="A472" s="67" t="inlineStr">
        <is>
          <t>YILDIZ KIZLAR</t>
        </is>
      </c>
      <c r="B472" s="72" t="inlineStr">
        <is>
          <t>Grup 8</t>
        </is>
      </c>
      <c r="C472" s="69" t="n">
        <v>3</v>
      </c>
      <c r="D472" s="70" t="n"/>
      <c r="E472" s="70" t="n"/>
      <c r="F472" s="70" t="n"/>
      <c r="G472" s="71" t="n"/>
      <c r="H472" s="70" t="n"/>
    </row>
    <row r="473" ht="17" customHeight="1">
      <c r="A473" s="67" t="inlineStr">
        <is>
          <t>YILDIZ KIZLAR</t>
        </is>
      </c>
      <c r="B473" s="72" t="inlineStr">
        <is>
          <t>Grup 8</t>
        </is>
      </c>
      <c r="C473" s="69" t="n">
        <v>4</v>
      </c>
      <c r="D473" s="70" t="n"/>
      <c r="E473" s="70" t="n"/>
      <c r="F473" s="70" t="n"/>
      <c r="G473" s="71" t="n"/>
      <c r="H473" s="70" t="n"/>
    </row>
    <row r="474" ht="17" customHeight="1">
      <c r="A474" s="67" t="inlineStr">
        <is>
          <t>YILDIZ KIZLAR</t>
        </is>
      </c>
      <c r="B474" s="72" t="inlineStr">
        <is>
          <t>Grup 8</t>
        </is>
      </c>
      <c r="C474" s="69" t="n">
        <v>5</v>
      </c>
      <c r="D474" s="70" t="n"/>
      <c r="E474" s="70" t="n"/>
      <c r="F474" s="70" t="n"/>
      <c r="G474" s="71" t="n"/>
      <c r="H474" s="70" t="n"/>
    </row>
    <row r="475" ht="17" customHeight="1">
      <c r="A475" s="67" t="inlineStr">
        <is>
          <t>YILDIZ KIZLAR</t>
        </is>
      </c>
      <c r="B475" s="72" t="inlineStr">
        <is>
          <t>Grup 8</t>
        </is>
      </c>
      <c r="C475" s="69" t="n">
        <v>6</v>
      </c>
      <c r="D475" s="70" t="n"/>
      <c r="E475" s="70" t="n"/>
      <c r="F475" s="70" t="n"/>
      <c r="G475" s="71" t="n"/>
      <c r="H475" s="70" t="n"/>
    </row>
    <row r="476" ht="17" customHeight="1">
      <c r="A476" s="67" t="inlineStr">
        <is>
          <t>YILDIZ KIZLAR</t>
        </is>
      </c>
      <c r="B476" s="72" t="inlineStr">
        <is>
          <t>Grup 8</t>
        </is>
      </c>
      <c r="C476" s="69" t="n">
        <v>7</v>
      </c>
      <c r="D476" s="70" t="n"/>
      <c r="E476" s="70" t="n"/>
      <c r="F476" s="70" t="n"/>
      <c r="G476" s="71" t="n"/>
      <c r="H476" s="70" t="n"/>
    </row>
    <row r="477" ht="17" customHeight="1">
      <c r="A477" s="67" t="inlineStr">
        <is>
          <t>YILDIZ KIZLAR</t>
        </is>
      </c>
      <c r="B477" s="72" t="inlineStr">
        <is>
          <t>Grup 8</t>
        </is>
      </c>
      <c r="C477" s="69" t="n">
        <v>8</v>
      </c>
      <c r="D477" s="70" t="n"/>
      <c r="E477" s="70" t="n"/>
      <c r="F477" s="70" t="n"/>
      <c r="G477" s="71" t="n"/>
      <c r="H477" s="70" t="n"/>
    </row>
    <row r="480" ht="22" customHeight="1">
      <c r="A480" s="54" t="inlineStr">
        <is>
          <t>YILDIZ ERKEKLER</t>
        </is>
      </c>
    </row>
    <row r="481" ht="20" customHeight="1">
      <c r="A481" s="62" t="inlineStr">
        <is>
          <t>KATEGORİ</t>
        </is>
      </c>
      <c r="B481" s="62" t="inlineStr">
        <is>
          <t>GRUP</t>
        </is>
      </c>
      <c r="C481" s="62" t="inlineStr">
        <is>
          <t>SIRA</t>
        </is>
      </c>
      <c r="D481" s="62" t="inlineStr">
        <is>
          <t>AD</t>
        </is>
      </c>
      <c r="E481" s="62" t="inlineStr">
        <is>
          <t>SOYAD</t>
        </is>
      </c>
      <c r="F481" s="62" t="inlineStr">
        <is>
          <t>OKUL / KULÜP</t>
        </is>
      </c>
      <c r="G481" s="62" t="inlineStr">
        <is>
          <t>TÜR</t>
        </is>
      </c>
      <c r="H481" s="62" t="inlineStr">
        <is>
          <t>ANTRENÖR / ÖĞR.</t>
        </is>
      </c>
    </row>
    <row r="482" ht="17" customHeight="1">
      <c r="A482" s="63" t="inlineStr">
        <is>
          <t>YILDIZ ERKEKLER</t>
        </is>
      </c>
      <c r="B482" s="64" t="inlineStr">
        <is>
          <t>Grup 1</t>
        </is>
      </c>
      <c r="C482" s="65" t="n">
        <v>1</v>
      </c>
      <c r="D482" s="30" t="n"/>
      <c r="E482" s="30" t="n"/>
      <c r="F482" s="30" t="n"/>
      <c r="G482" s="32" t="n"/>
      <c r="H482" s="30" t="n"/>
    </row>
    <row r="483" ht="17" customHeight="1">
      <c r="A483" s="63" t="inlineStr">
        <is>
          <t>YILDIZ ERKEKLER</t>
        </is>
      </c>
      <c r="B483" s="66" t="inlineStr">
        <is>
          <t>Grup 1</t>
        </is>
      </c>
      <c r="C483" s="65" t="n">
        <v>2</v>
      </c>
      <c r="D483" s="30" t="n"/>
      <c r="E483" s="30" t="n"/>
      <c r="F483" s="30" t="n"/>
      <c r="G483" s="32" t="n"/>
      <c r="H483" s="30" t="n"/>
    </row>
    <row r="484" ht="17" customHeight="1">
      <c r="A484" s="63" t="inlineStr">
        <is>
          <t>YILDIZ ERKEKLER</t>
        </is>
      </c>
      <c r="B484" s="66" t="inlineStr">
        <is>
          <t>Grup 1</t>
        </is>
      </c>
      <c r="C484" s="65" t="n">
        <v>3</v>
      </c>
      <c r="D484" s="30" t="n"/>
      <c r="E484" s="30" t="n"/>
      <c r="F484" s="30" t="n"/>
      <c r="G484" s="32" t="n"/>
      <c r="H484" s="30" t="n"/>
    </row>
    <row r="485" ht="17" customHeight="1">
      <c r="A485" s="63" t="inlineStr">
        <is>
          <t>YILDIZ ERKEKLER</t>
        </is>
      </c>
      <c r="B485" s="66" t="inlineStr">
        <is>
          <t>Grup 1</t>
        </is>
      </c>
      <c r="C485" s="65" t="n">
        <v>4</v>
      </c>
      <c r="D485" s="30" t="n"/>
      <c r="E485" s="30" t="n"/>
      <c r="F485" s="30" t="n"/>
      <c r="G485" s="32" t="n"/>
      <c r="H485" s="30" t="n"/>
    </row>
    <row r="486" ht="17" customHeight="1">
      <c r="A486" s="63" t="inlineStr">
        <is>
          <t>YILDIZ ERKEKLER</t>
        </is>
      </c>
      <c r="B486" s="66" t="inlineStr">
        <is>
          <t>Grup 1</t>
        </is>
      </c>
      <c r="C486" s="65" t="n">
        <v>5</v>
      </c>
      <c r="D486" s="30" t="n"/>
      <c r="E486" s="30" t="n"/>
      <c r="F486" s="30" t="n"/>
      <c r="G486" s="32" t="n"/>
      <c r="H486" s="30" t="n"/>
    </row>
    <row r="487" ht="17" customHeight="1">
      <c r="A487" s="63" t="inlineStr">
        <is>
          <t>YILDIZ ERKEKLER</t>
        </is>
      </c>
      <c r="B487" s="66" t="inlineStr">
        <is>
          <t>Grup 1</t>
        </is>
      </c>
      <c r="C487" s="65" t="n">
        <v>6</v>
      </c>
      <c r="D487" s="30" t="n"/>
      <c r="E487" s="30" t="n"/>
      <c r="F487" s="30" t="n"/>
      <c r="G487" s="32" t="n"/>
      <c r="H487" s="30" t="n"/>
    </row>
    <row r="488" ht="17" customHeight="1">
      <c r="A488" s="63" t="inlineStr">
        <is>
          <t>YILDIZ ERKEKLER</t>
        </is>
      </c>
      <c r="B488" s="66" t="inlineStr">
        <is>
          <t>Grup 1</t>
        </is>
      </c>
      <c r="C488" s="65" t="n">
        <v>7</v>
      </c>
      <c r="D488" s="30" t="n"/>
      <c r="E488" s="30" t="n"/>
      <c r="F488" s="30" t="n"/>
      <c r="G488" s="32" t="n"/>
      <c r="H488" s="30" t="n"/>
    </row>
    <row r="489" ht="17" customHeight="1">
      <c r="A489" s="63" t="inlineStr">
        <is>
          <t>YILDIZ ERKEKLER</t>
        </is>
      </c>
      <c r="B489" s="66" t="inlineStr">
        <is>
          <t>Grup 1</t>
        </is>
      </c>
      <c r="C489" s="65" t="n">
        <v>8</v>
      </c>
      <c r="D489" s="30" t="n"/>
      <c r="E489" s="30" t="n"/>
      <c r="F489" s="30" t="n"/>
      <c r="G489" s="32" t="n"/>
      <c r="H489" s="30" t="n"/>
    </row>
    <row r="490" ht="17" customHeight="1">
      <c r="A490" s="73" t="inlineStr">
        <is>
          <t>YILDIZ ERKEKLER</t>
        </is>
      </c>
      <c r="B490" s="74" t="inlineStr">
        <is>
          <t>Grup 2</t>
        </is>
      </c>
      <c r="C490" s="75" t="n">
        <v>1</v>
      </c>
      <c r="D490" s="76" t="n"/>
      <c r="E490" s="76" t="n"/>
      <c r="F490" s="76" t="n"/>
      <c r="G490" s="77" t="n"/>
      <c r="H490" s="76" t="n"/>
    </row>
    <row r="491" ht="17" customHeight="1">
      <c r="A491" s="73" t="inlineStr">
        <is>
          <t>YILDIZ ERKEKLER</t>
        </is>
      </c>
      <c r="B491" s="78" t="inlineStr">
        <is>
          <t>Grup 2</t>
        </is>
      </c>
      <c r="C491" s="75" t="n">
        <v>2</v>
      </c>
      <c r="D491" s="76" t="n"/>
      <c r="E491" s="76" t="n"/>
      <c r="F491" s="76" t="n"/>
      <c r="G491" s="77" t="n"/>
      <c r="H491" s="76" t="n"/>
    </row>
    <row r="492" ht="17" customHeight="1">
      <c r="A492" s="73" t="inlineStr">
        <is>
          <t>YILDIZ ERKEKLER</t>
        </is>
      </c>
      <c r="B492" s="78" t="inlineStr">
        <is>
          <t>Grup 2</t>
        </is>
      </c>
      <c r="C492" s="75" t="n">
        <v>3</v>
      </c>
      <c r="D492" s="76" t="n"/>
      <c r="E492" s="76" t="n"/>
      <c r="F492" s="76" t="n"/>
      <c r="G492" s="77" t="n"/>
      <c r="H492" s="76" t="n"/>
    </row>
    <row r="493" ht="17" customHeight="1">
      <c r="A493" s="73" t="inlineStr">
        <is>
          <t>YILDIZ ERKEKLER</t>
        </is>
      </c>
      <c r="B493" s="78" t="inlineStr">
        <is>
          <t>Grup 2</t>
        </is>
      </c>
      <c r="C493" s="75" t="n">
        <v>4</v>
      </c>
      <c r="D493" s="76" t="n"/>
      <c r="E493" s="76" t="n"/>
      <c r="F493" s="76" t="n"/>
      <c r="G493" s="77" t="n"/>
      <c r="H493" s="76" t="n"/>
    </row>
    <row r="494" ht="17" customHeight="1">
      <c r="A494" s="73" t="inlineStr">
        <is>
          <t>YILDIZ ERKEKLER</t>
        </is>
      </c>
      <c r="B494" s="78" t="inlineStr">
        <is>
          <t>Grup 2</t>
        </is>
      </c>
      <c r="C494" s="75" t="n">
        <v>5</v>
      </c>
      <c r="D494" s="76" t="n"/>
      <c r="E494" s="76" t="n"/>
      <c r="F494" s="76" t="n"/>
      <c r="G494" s="77" t="n"/>
      <c r="H494" s="76" t="n"/>
    </row>
    <row r="495" ht="17" customHeight="1">
      <c r="A495" s="73" t="inlineStr">
        <is>
          <t>YILDIZ ERKEKLER</t>
        </is>
      </c>
      <c r="B495" s="78" t="inlineStr">
        <is>
          <t>Grup 2</t>
        </is>
      </c>
      <c r="C495" s="75" t="n">
        <v>6</v>
      </c>
      <c r="D495" s="76" t="n"/>
      <c r="E495" s="76" t="n"/>
      <c r="F495" s="76" t="n"/>
      <c r="G495" s="77" t="n"/>
      <c r="H495" s="76" t="n"/>
    </row>
    <row r="496" ht="17" customHeight="1">
      <c r="A496" s="73" t="inlineStr">
        <is>
          <t>YILDIZ ERKEKLER</t>
        </is>
      </c>
      <c r="B496" s="78" t="inlineStr">
        <is>
          <t>Grup 2</t>
        </is>
      </c>
      <c r="C496" s="75" t="n">
        <v>7</v>
      </c>
      <c r="D496" s="76" t="n"/>
      <c r="E496" s="76" t="n"/>
      <c r="F496" s="76" t="n"/>
      <c r="G496" s="77" t="n"/>
      <c r="H496" s="76" t="n"/>
    </row>
    <row r="497" ht="17" customHeight="1">
      <c r="A497" s="73" t="inlineStr">
        <is>
          <t>YILDIZ ERKEKLER</t>
        </is>
      </c>
      <c r="B497" s="78" t="inlineStr">
        <is>
          <t>Grup 2</t>
        </is>
      </c>
      <c r="C497" s="75" t="n">
        <v>8</v>
      </c>
      <c r="D497" s="76" t="n"/>
      <c r="E497" s="76" t="n"/>
      <c r="F497" s="76" t="n"/>
      <c r="G497" s="77" t="n"/>
      <c r="H497" s="76" t="n"/>
    </row>
    <row r="498" ht="17" customHeight="1">
      <c r="A498" s="63" t="inlineStr">
        <is>
          <t>YILDIZ ERKEKLER</t>
        </is>
      </c>
      <c r="B498" s="64" t="inlineStr">
        <is>
          <t>Grup 3</t>
        </is>
      </c>
      <c r="C498" s="65" t="n">
        <v>1</v>
      </c>
      <c r="D498" s="30" t="n"/>
      <c r="E498" s="30" t="n"/>
      <c r="F498" s="30" t="n"/>
      <c r="G498" s="32" t="n"/>
      <c r="H498" s="30" t="n"/>
    </row>
    <row r="499" ht="17" customHeight="1">
      <c r="A499" s="63" t="inlineStr">
        <is>
          <t>YILDIZ ERKEKLER</t>
        </is>
      </c>
      <c r="B499" s="66" t="inlineStr">
        <is>
          <t>Grup 3</t>
        </is>
      </c>
      <c r="C499" s="65" t="n">
        <v>2</v>
      </c>
      <c r="D499" s="30" t="n"/>
      <c r="E499" s="30" t="n"/>
      <c r="F499" s="30" t="n"/>
      <c r="G499" s="32" t="n"/>
      <c r="H499" s="30" t="n"/>
    </row>
    <row r="500" ht="17" customHeight="1">
      <c r="A500" s="63" t="inlineStr">
        <is>
          <t>YILDIZ ERKEKLER</t>
        </is>
      </c>
      <c r="B500" s="66" t="inlineStr">
        <is>
          <t>Grup 3</t>
        </is>
      </c>
      <c r="C500" s="65" t="n">
        <v>3</v>
      </c>
      <c r="D500" s="30" t="n"/>
      <c r="E500" s="30" t="n"/>
      <c r="F500" s="30" t="n"/>
      <c r="G500" s="32" t="n"/>
      <c r="H500" s="30" t="n"/>
    </row>
    <row r="501" ht="17" customHeight="1">
      <c r="A501" s="63" t="inlineStr">
        <is>
          <t>YILDIZ ERKEKLER</t>
        </is>
      </c>
      <c r="B501" s="66" t="inlineStr">
        <is>
          <t>Grup 3</t>
        </is>
      </c>
      <c r="C501" s="65" t="n">
        <v>4</v>
      </c>
      <c r="D501" s="30" t="n"/>
      <c r="E501" s="30" t="n"/>
      <c r="F501" s="30" t="n"/>
      <c r="G501" s="32" t="n"/>
      <c r="H501" s="30" t="n"/>
    </row>
    <row r="502" ht="17" customHeight="1">
      <c r="A502" s="63" t="inlineStr">
        <is>
          <t>YILDIZ ERKEKLER</t>
        </is>
      </c>
      <c r="B502" s="66" t="inlineStr">
        <is>
          <t>Grup 3</t>
        </is>
      </c>
      <c r="C502" s="65" t="n">
        <v>5</v>
      </c>
      <c r="D502" s="30" t="n"/>
      <c r="E502" s="30" t="n"/>
      <c r="F502" s="30" t="n"/>
      <c r="G502" s="32" t="n"/>
      <c r="H502" s="30" t="n"/>
    </row>
    <row r="503" ht="17" customHeight="1">
      <c r="A503" s="63" t="inlineStr">
        <is>
          <t>YILDIZ ERKEKLER</t>
        </is>
      </c>
      <c r="B503" s="66" t="inlineStr">
        <is>
          <t>Grup 3</t>
        </is>
      </c>
      <c r="C503" s="65" t="n">
        <v>6</v>
      </c>
      <c r="D503" s="30" t="n"/>
      <c r="E503" s="30" t="n"/>
      <c r="F503" s="30" t="n"/>
      <c r="G503" s="32" t="n"/>
      <c r="H503" s="30" t="n"/>
    </row>
    <row r="504" ht="17" customHeight="1">
      <c r="A504" s="63" t="inlineStr">
        <is>
          <t>YILDIZ ERKEKLER</t>
        </is>
      </c>
      <c r="B504" s="66" t="inlineStr">
        <is>
          <t>Grup 3</t>
        </is>
      </c>
      <c r="C504" s="65" t="n">
        <v>7</v>
      </c>
      <c r="D504" s="30" t="n"/>
      <c r="E504" s="30" t="n"/>
      <c r="F504" s="30" t="n"/>
      <c r="G504" s="32" t="n"/>
      <c r="H504" s="30" t="n"/>
    </row>
    <row r="505" ht="17" customHeight="1">
      <c r="A505" s="63" t="inlineStr">
        <is>
          <t>YILDIZ ERKEKLER</t>
        </is>
      </c>
      <c r="B505" s="66" t="inlineStr">
        <is>
          <t>Grup 3</t>
        </is>
      </c>
      <c r="C505" s="65" t="n">
        <v>8</v>
      </c>
      <c r="D505" s="30" t="n"/>
      <c r="E505" s="30" t="n"/>
      <c r="F505" s="30" t="n"/>
      <c r="G505" s="32" t="n"/>
      <c r="H505" s="30" t="n"/>
    </row>
    <row r="506" ht="17" customHeight="1">
      <c r="A506" s="73" t="inlineStr">
        <is>
          <t>YILDIZ ERKEKLER</t>
        </is>
      </c>
      <c r="B506" s="74" t="inlineStr">
        <is>
          <t>Grup 4</t>
        </is>
      </c>
      <c r="C506" s="75" t="n">
        <v>1</v>
      </c>
      <c r="D506" s="76" t="n"/>
      <c r="E506" s="76" t="n"/>
      <c r="F506" s="76" t="n"/>
      <c r="G506" s="77" t="n"/>
      <c r="H506" s="76" t="n"/>
    </row>
    <row r="507" ht="17" customHeight="1">
      <c r="A507" s="73" t="inlineStr">
        <is>
          <t>YILDIZ ERKEKLER</t>
        </is>
      </c>
      <c r="B507" s="78" t="inlineStr">
        <is>
          <t>Grup 4</t>
        </is>
      </c>
      <c r="C507" s="75" t="n">
        <v>2</v>
      </c>
      <c r="D507" s="76" t="n"/>
      <c r="E507" s="76" t="n"/>
      <c r="F507" s="76" t="n"/>
      <c r="G507" s="77" t="n"/>
      <c r="H507" s="76" t="n"/>
    </row>
    <row r="508" ht="17" customHeight="1">
      <c r="A508" s="73" t="inlineStr">
        <is>
          <t>YILDIZ ERKEKLER</t>
        </is>
      </c>
      <c r="B508" s="78" t="inlineStr">
        <is>
          <t>Grup 4</t>
        </is>
      </c>
      <c r="C508" s="75" t="n">
        <v>3</v>
      </c>
      <c r="D508" s="76" t="n"/>
      <c r="E508" s="76" t="n"/>
      <c r="F508" s="76" t="n"/>
      <c r="G508" s="77" t="n"/>
      <c r="H508" s="76" t="n"/>
    </row>
    <row r="509" ht="17" customHeight="1">
      <c r="A509" s="73" t="inlineStr">
        <is>
          <t>YILDIZ ERKEKLER</t>
        </is>
      </c>
      <c r="B509" s="78" t="inlineStr">
        <is>
          <t>Grup 4</t>
        </is>
      </c>
      <c r="C509" s="75" t="n">
        <v>4</v>
      </c>
      <c r="D509" s="76" t="n"/>
      <c r="E509" s="76" t="n"/>
      <c r="F509" s="76" t="n"/>
      <c r="G509" s="77" t="n"/>
      <c r="H509" s="76" t="n"/>
    </row>
    <row r="510" ht="17" customHeight="1">
      <c r="A510" s="73" t="inlineStr">
        <is>
          <t>YILDIZ ERKEKLER</t>
        </is>
      </c>
      <c r="B510" s="78" t="inlineStr">
        <is>
          <t>Grup 4</t>
        </is>
      </c>
      <c r="C510" s="75" t="n">
        <v>5</v>
      </c>
      <c r="D510" s="76" t="n"/>
      <c r="E510" s="76" t="n"/>
      <c r="F510" s="76" t="n"/>
      <c r="G510" s="77" t="n"/>
      <c r="H510" s="76" t="n"/>
    </row>
    <row r="511" ht="17" customHeight="1">
      <c r="A511" s="73" t="inlineStr">
        <is>
          <t>YILDIZ ERKEKLER</t>
        </is>
      </c>
      <c r="B511" s="78" t="inlineStr">
        <is>
          <t>Grup 4</t>
        </is>
      </c>
      <c r="C511" s="75" t="n">
        <v>6</v>
      </c>
      <c r="D511" s="76" t="n"/>
      <c r="E511" s="76" t="n"/>
      <c r="F511" s="76" t="n"/>
      <c r="G511" s="77" t="n"/>
      <c r="H511" s="76" t="n"/>
    </row>
    <row r="512" ht="17" customHeight="1">
      <c r="A512" s="73" t="inlineStr">
        <is>
          <t>YILDIZ ERKEKLER</t>
        </is>
      </c>
      <c r="B512" s="78" t="inlineStr">
        <is>
          <t>Grup 4</t>
        </is>
      </c>
      <c r="C512" s="75" t="n">
        <v>7</v>
      </c>
      <c r="D512" s="76" t="n"/>
      <c r="E512" s="76" t="n"/>
      <c r="F512" s="76" t="n"/>
      <c r="G512" s="77" t="n"/>
      <c r="H512" s="76" t="n"/>
    </row>
    <row r="513" ht="17" customHeight="1">
      <c r="A513" s="73" t="inlineStr">
        <is>
          <t>YILDIZ ERKEKLER</t>
        </is>
      </c>
      <c r="B513" s="78" t="inlineStr">
        <is>
          <t>Grup 4</t>
        </is>
      </c>
      <c r="C513" s="75" t="n">
        <v>8</v>
      </c>
      <c r="D513" s="76" t="n"/>
      <c r="E513" s="76" t="n"/>
      <c r="F513" s="76" t="n"/>
      <c r="G513" s="77" t="n"/>
      <c r="H513" s="76" t="n"/>
    </row>
    <row r="514" ht="17" customHeight="1">
      <c r="A514" s="63" t="inlineStr">
        <is>
          <t>YILDIZ ERKEKLER</t>
        </is>
      </c>
      <c r="B514" s="64" t="inlineStr">
        <is>
          <t>Grup 5</t>
        </is>
      </c>
      <c r="C514" s="65" t="n">
        <v>1</v>
      </c>
      <c r="D514" s="30" t="n"/>
      <c r="E514" s="30" t="n"/>
      <c r="F514" s="30" t="n"/>
      <c r="G514" s="32" t="n"/>
      <c r="H514" s="30" t="n"/>
    </row>
    <row r="515" ht="17" customHeight="1">
      <c r="A515" s="63" t="inlineStr">
        <is>
          <t>YILDIZ ERKEKLER</t>
        </is>
      </c>
      <c r="B515" s="66" t="inlineStr">
        <is>
          <t>Grup 5</t>
        </is>
      </c>
      <c r="C515" s="65" t="n">
        <v>2</v>
      </c>
      <c r="D515" s="30" t="n"/>
      <c r="E515" s="30" t="n"/>
      <c r="F515" s="30" t="n"/>
      <c r="G515" s="32" t="n"/>
      <c r="H515" s="30" t="n"/>
    </row>
    <row r="516" ht="17" customHeight="1">
      <c r="A516" s="63" t="inlineStr">
        <is>
          <t>YILDIZ ERKEKLER</t>
        </is>
      </c>
      <c r="B516" s="66" t="inlineStr">
        <is>
          <t>Grup 5</t>
        </is>
      </c>
      <c r="C516" s="65" t="n">
        <v>3</v>
      </c>
      <c r="D516" s="30" t="n"/>
      <c r="E516" s="30" t="n"/>
      <c r="F516" s="30" t="n"/>
      <c r="G516" s="32" t="n"/>
      <c r="H516" s="30" t="n"/>
    </row>
    <row r="517" ht="17" customHeight="1">
      <c r="A517" s="63" t="inlineStr">
        <is>
          <t>YILDIZ ERKEKLER</t>
        </is>
      </c>
      <c r="B517" s="66" t="inlineStr">
        <is>
          <t>Grup 5</t>
        </is>
      </c>
      <c r="C517" s="65" t="n">
        <v>4</v>
      </c>
      <c r="D517" s="30" t="n"/>
      <c r="E517" s="30" t="n"/>
      <c r="F517" s="30" t="n"/>
      <c r="G517" s="32" t="n"/>
      <c r="H517" s="30" t="n"/>
    </row>
    <row r="518" ht="17" customHeight="1">
      <c r="A518" s="63" t="inlineStr">
        <is>
          <t>YILDIZ ERKEKLER</t>
        </is>
      </c>
      <c r="B518" s="66" t="inlineStr">
        <is>
          <t>Grup 5</t>
        </is>
      </c>
      <c r="C518" s="65" t="n">
        <v>5</v>
      </c>
      <c r="D518" s="30" t="n"/>
      <c r="E518" s="30" t="n"/>
      <c r="F518" s="30" t="n"/>
      <c r="G518" s="32" t="n"/>
      <c r="H518" s="30" t="n"/>
    </row>
    <row r="519" ht="17" customHeight="1">
      <c r="A519" s="63" t="inlineStr">
        <is>
          <t>YILDIZ ERKEKLER</t>
        </is>
      </c>
      <c r="B519" s="66" t="inlineStr">
        <is>
          <t>Grup 5</t>
        </is>
      </c>
      <c r="C519" s="65" t="n">
        <v>6</v>
      </c>
      <c r="D519" s="30" t="n"/>
      <c r="E519" s="30" t="n"/>
      <c r="F519" s="30" t="n"/>
      <c r="G519" s="32" t="n"/>
      <c r="H519" s="30" t="n"/>
    </row>
    <row r="520" ht="17" customHeight="1">
      <c r="A520" s="63" t="inlineStr">
        <is>
          <t>YILDIZ ERKEKLER</t>
        </is>
      </c>
      <c r="B520" s="66" t="inlineStr">
        <is>
          <t>Grup 5</t>
        </is>
      </c>
      <c r="C520" s="65" t="n">
        <v>7</v>
      </c>
      <c r="D520" s="30" t="n"/>
      <c r="E520" s="30" t="n"/>
      <c r="F520" s="30" t="n"/>
      <c r="G520" s="32" t="n"/>
      <c r="H520" s="30" t="n"/>
    </row>
    <row r="521" ht="17" customHeight="1">
      <c r="A521" s="63" t="inlineStr">
        <is>
          <t>YILDIZ ERKEKLER</t>
        </is>
      </c>
      <c r="B521" s="66" t="inlineStr">
        <is>
          <t>Grup 5</t>
        </is>
      </c>
      <c r="C521" s="65" t="n">
        <v>8</v>
      </c>
      <c r="D521" s="30" t="n"/>
      <c r="E521" s="30" t="n"/>
      <c r="F521" s="30" t="n"/>
      <c r="G521" s="32" t="n"/>
      <c r="H521" s="30" t="n"/>
    </row>
    <row r="522" ht="17" customHeight="1">
      <c r="A522" s="73" t="inlineStr">
        <is>
          <t>YILDIZ ERKEKLER</t>
        </is>
      </c>
      <c r="B522" s="74" t="inlineStr">
        <is>
          <t>Grup 6</t>
        </is>
      </c>
      <c r="C522" s="75" t="n">
        <v>1</v>
      </c>
      <c r="D522" s="76" t="n"/>
      <c r="E522" s="76" t="n"/>
      <c r="F522" s="76" t="n"/>
      <c r="G522" s="77" t="n"/>
      <c r="H522" s="76" t="n"/>
    </row>
    <row r="523" ht="17" customHeight="1">
      <c r="A523" s="73" t="inlineStr">
        <is>
          <t>YILDIZ ERKEKLER</t>
        </is>
      </c>
      <c r="B523" s="78" t="inlineStr">
        <is>
          <t>Grup 6</t>
        </is>
      </c>
      <c r="C523" s="75" t="n">
        <v>2</v>
      </c>
      <c r="D523" s="76" t="n"/>
      <c r="E523" s="76" t="n"/>
      <c r="F523" s="76" t="n"/>
      <c r="G523" s="77" t="n"/>
      <c r="H523" s="76" t="n"/>
    </row>
    <row r="524" ht="17" customHeight="1">
      <c r="A524" s="73" t="inlineStr">
        <is>
          <t>YILDIZ ERKEKLER</t>
        </is>
      </c>
      <c r="B524" s="78" t="inlineStr">
        <is>
          <t>Grup 6</t>
        </is>
      </c>
      <c r="C524" s="75" t="n">
        <v>3</v>
      </c>
      <c r="D524" s="76" t="n"/>
      <c r="E524" s="76" t="n"/>
      <c r="F524" s="76" t="n"/>
      <c r="G524" s="77" t="n"/>
      <c r="H524" s="76" t="n"/>
    </row>
    <row r="525" ht="17" customHeight="1">
      <c r="A525" s="73" t="inlineStr">
        <is>
          <t>YILDIZ ERKEKLER</t>
        </is>
      </c>
      <c r="B525" s="78" t="inlineStr">
        <is>
          <t>Grup 6</t>
        </is>
      </c>
      <c r="C525" s="75" t="n">
        <v>4</v>
      </c>
      <c r="D525" s="76" t="n"/>
      <c r="E525" s="76" t="n"/>
      <c r="F525" s="76" t="n"/>
      <c r="G525" s="77" t="n"/>
      <c r="H525" s="76" t="n"/>
    </row>
    <row r="526" ht="17" customHeight="1">
      <c r="A526" s="73" t="inlineStr">
        <is>
          <t>YILDIZ ERKEKLER</t>
        </is>
      </c>
      <c r="B526" s="78" t="inlineStr">
        <is>
          <t>Grup 6</t>
        </is>
      </c>
      <c r="C526" s="75" t="n">
        <v>5</v>
      </c>
      <c r="D526" s="76" t="n"/>
      <c r="E526" s="76" t="n"/>
      <c r="F526" s="76" t="n"/>
      <c r="G526" s="77" t="n"/>
      <c r="H526" s="76" t="n"/>
    </row>
    <row r="527" ht="17" customHeight="1">
      <c r="A527" s="73" t="inlineStr">
        <is>
          <t>YILDIZ ERKEKLER</t>
        </is>
      </c>
      <c r="B527" s="78" t="inlineStr">
        <is>
          <t>Grup 6</t>
        </is>
      </c>
      <c r="C527" s="75" t="n">
        <v>6</v>
      </c>
      <c r="D527" s="76" t="n"/>
      <c r="E527" s="76" t="n"/>
      <c r="F527" s="76" t="n"/>
      <c r="G527" s="77" t="n"/>
      <c r="H527" s="76" t="n"/>
    </row>
    <row r="528" ht="17" customHeight="1">
      <c r="A528" s="73" t="inlineStr">
        <is>
          <t>YILDIZ ERKEKLER</t>
        </is>
      </c>
      <c r="B528" s="78" t="inlineStr">
        <is>
          <t>Grup 6</t>
        </is>
      </c>
      <c r="C528" s="75" t="n">
        <v>7</v>
      </c>
      <c r="D528" s="76" t="n"/>
      <c r="E528" s="76" t="n"/>
      <c r="F528" s="76" t="n"/>
      <c r="G528" s="77" t="n"/>
      <c r="H528" s="76" t="n"/>
    </row>
    <row r="529" ht="17" customHeight="1">
      <c r="A529" s="73" t="inlineStr">
        <is>
          <t>YILDIZ ERKEKLER</t>
        </is>
      </c>
      <c r="B529" s="78" t="inlineStr">
        <is>
          <t>Grup 6</t>
        </is>
      </c>
      <c r="C529" s="75" t="n">
        <v>8</v>
      </c>
      <c r="D529" s="76" t="n"/>
      <c r="E529" s="76" t="n"/>
      <c r="F529" s="76" t="n"/>
      <c r="G529" s="77" t="n"/>
      <c r="H529" s="76" t="n"/>
    </row>
    <row r="530" ht="17" customHeight="1">
      <c r="A530" s="63" t="inlineStr">
        <is>
          <t>YILDIZ ERKEKLER</t>
        </is>
      </c>
      <c r="B530" s="64" t="inlineStr">
        <is>
          <t>Grup 7</t>
        </is>
      </c>
      <c r="C530" s="65" t="n">
        <v>1</v>
      </c>
      <c r="D530" s="30" t="n"/>
      <c r="E530" s="30" t="n"/>
      <c r="F530" s="30" t="n"/>
      <c r="G530" s="32" t="n"/>
      <c r="H530" s="30" t="n"/>
    </row>
    <row r="531" ht="17" customHeight="1">
      <c r="A531" s="63" t="inlineStr">
        <is>
          <t>YILDIZ ERKEKLER</t>
        </is>
      </c>
      <c r="B531" s="66" t="inlineStr">
        <is>
          <t>Grup 7</t>
        </is>
      </c>
      <c r="C531" s="65" t="n">
        <v>2</v>
      </c>
      <c r="D531" s="30" t="n"/>
      <c r="E531" s="30" t="n"/>
      <c r="F531" s="30" t="n"/>
      <c r="G531" s="32" t="n"/>
      <c r="H531" s="30" t="n"/>
    </row>
    <row r="532" ht="17" customHeight="1">
      <c r="A532" s="63" t="inlineStr">
        <is>
          <t>YILDIZ ERKEKLER</t>
        </is>
      </c>
      <c r="B532" s="66" t="inlineStr">
        <is>
          <t>Grup 7</t>
        </is>
      </c>
      <c r="C532" s="65" t="n">
        <v>3</v>
      </c>
      <c r="D532" s="30" t="n"/>
      <c r="E532" s="30" t="n"/>
      <c r="F532" s="30" t="n"/>
      <c r="G532" s="32" t="n"/>
      <c r="H532" s="30" t="n"/>
    </row>
    <row r="533" ht="17" customHeight="1">
      <c r="A533" s="63" t="inlineStr">
        <is>
          <t>YILDIZ ERKEKLER</t>
        </is>
      </c>
      <c r="B533" s="66" t="inlineStr">
        <is>
          <t>Grup 7</t>
        </is>
      </c>
      <c r="C533" s="65" t="n">
        <v>4</v>
      </c>
      <c r="D533" s="30" t="n"/>
      <c r="E533" s="30" t="n"/>
      <c r="F533" s="30" t="n"/>
      <c r="G533" s="32" t="n"/>
      <c r="H533" s="30" t="n"/>
    </row>
    <row r="534" ht="17" customHeight="1">
      <c r="A534" s="63" t="inlineStr">
        <is>
          <t>YILDIZ ERKEKLER</t>
        </is>
      </c>
      <c r="B534" s="66" t="inlineStr">
        <is>
          <t>Grup 7</t>
        </is>
      </c>
      <c r="C534" s="65" t="n">
        <v>5</v>
      </c>
      <c r="D534" s="30" t="n"/>
      <c r="E534" s="30" t="n"/>
      <c r="F534" s="30" t="n"/>
      <c r="G534" s="32" t="n"/>
      <c r="H534" s="30" t="n"/>
    </row>
    <row r="535" ht="17" customHeight="1">
      <c r="A535" s="63" t="inlineStr">
        <is>
          <t>YILDIZ ERKEKLER</t>
        </is>
      </c>
      <c r="B535" s="66" t="inlineStr">
        <is>
          <t>Grup 7</t>
        </is>
      </c>
      <c r="C535" s="65" t="n">
        <v>6</v>
      </c>
      <c r="D535" s="30" t="n"/>
      <c r="E535" s="30" t="n"/>
      <c r="F535" s="30" t="n"/>
      <c r="G535" s="32" t="n"/>
      <c r="H535" s="30" t="n"/>
    </row>
    <row r="536" ht="17" customHeight="1">
      <c r="A536" s="63" t="inlineStr">
        <is>
          <t>YILDIZ ERKEKLER</t>
        </is>
      </c>
      <c r="B536" s="66" t="inlineStr">
        <is>
          <t>Grup 7</t>
        </is>
      </c>
      <c r="C536" s="65" t="n">
        <v>7</v>
      </c>
      <c r="D536" s="30" t="n"/>
      <c r="E536" s="30" t="n"/>
      <c r="F536" s="30" t="n"/>
      <c r="G536" s="32" t="n"/>
      <c r="H536" s="30" t="n"/>
    </row>
    <row r="537" ht="17" customHeight="1">
      <c r="A537" s="63" t="inlineStr">
        <is>
          <t>YILDIZ ERKEKLER</t>
        </is>
      </c>
      <c r="B537" s="66" t="inlineStr">
        <is>
          <t>Grup 7</t>
        </is>
      </c>
      <c r="C537" s="65" t="n">
        <v>8</v>
      </c>
      <c r="D537" s="30" t="n"/>
      <c r="E537" s="30" t="n"/>
      <c r="F537" s="30" t="n"/>
      <c r="G537" s="32" t="n"/>
      <c r="H537" s="30" t="n"/>
    </row>
    <row r="538" ht="17" customHeight="1">
      <c r="A538" s="73" t="inlineStr">
        <is>
          <t>YILDIZ ERKEKLER</t>
        </is>
      </c>
      <c r="B538" s="74" t="inlineStr">
        <is>
          <t>Grup 8</t>
        </is>
      </c>
      <c r="C538" s="75" t="n">
        <v>1</v>
      </c>
      <c r="D538" s="76" t="n"/>
      <c r="E538" s="76" t="n"/>
      <c r="F538" s="76" t="n"/>
      <c r="G538" s="77" t="n"/>
      <c r="H538" s="76" t="n"/>
    </row>
    <row r="539" ht="17" customHeight="1">
      <c r="A539" s="73" t="inlineStr">
        <is>
          <t>YILDIZ ERKEKLER</t>
        </is>
      </c>
      <c r="B539" s="78" t="inlineStr">
        <is>
          <t>Grup 8</t>
        </is>
      </c>
      <c r="C539" s="75" t="n">
        <v>2</v>
      </c>
      <c r="D539" s="76" t="n"/>
      <c r="E539" s="76" t="n"/>
      <c r="F539" s="76" t="n"/>
      <c r="G539" s="77" t="n"/>
      <c r="H539" s="76" t="n"/>
    </row>
    <row r="540" ht="17" customHeight="1">
      <c r="A540" s="73" t="inlineStr">
        <is>
          <t>YILDIZ ERKEKLER</t>
        </is>
      </c>
      <c r="B540" s="78" t="inlineStr">
        <is>
          <t>Grup 8</t>
        </is>
      </c>
      <c r="C540" s="75" t="n">
        <v>3</v>
      </c>
      <c r="D540" s="76" t="n"/>
      <c r="E540" s="76" t="n"/>
      <c r="F540" s="76" t="n"/>
      <c r="G540" s="77" t="n"/>
      <c r="H540" s="76" t="n"/>
    </row>
    <row r="541" ht="17" customHeight="1">
      <c r="A541" s="73" t="inlineStr">
        <is>
          <t>YILDIZ ERKEKLER</t>
        </is>
      </c>
      <c r="B541" s="78" t="inlineStr">
        <is>
          <t>Grup 8</t>
        </is>
      </c>
      <c r="C541" s="75" t="n">
        <v>4</v>
      </c>
      <c r="D541" s="76" t="n"/>
      <c r="E541" s="76" t="n"/>
      <c r="F541" s="76" t="n"/>
      <c r="G541" s="77" t="n"/>
      <c r="H541" s="76" t="n"/>
    </row>
    <row r="542" ht="17" customHeight="1">
      <c r="A542" s="73" t="inlineStr">
        <is>
          <t>YILDIZ ERKEKLER</t>
        </is>
      </c>
      <c r="B542" s="78" t="inlineStr">
        <is>
          <t>Grup 8</t>
        </is>
      </c>
      <c r="C542" s="75" t="n">
        <v>5</v>
      </c>
      <c r="D542" s="76" t="n"/>
      <c r="E542" s="76" t="n"/>
      <c r="F542" s="76" t="n"/>
      <c r="G542" s="77" t="n"/>
      <c r="H542" s="76" t="n"/>
    </row>
    <row r="543" ht="17" customHeight="1">
      <c r="A543" s="73" t="inlineStr">
        <is>
          <t>YILDIZ ERKEKLER</t>
        </is>
      </c>
      <c r="B543" s="78" t="inlineStr">
        <is>
          <t>Grup 8</t>
        </is>
      </c>
      <c r="C543" s="75" t="n">
        <v>6</v>
      </c>
      <c r="D543" s="76" t="n"/>
      <c r="E543" s="76" t="n"/>
      <c r="F543" s="76" t="n"/>
      <c r="G543" s="77" t="n"/>
      <c r="H543" s="76" t="n"/>
    </row>
    <row r="544" ht="17" customHeight="1">
      <c r="A544" s="73" t="inlineStr">
        <is>
          <t>YILDIZ ERKEKLER</t>
        </is>
      </c>
      <c r="B544" s="78" t="inlineStr">
        <is>
          <t>Grup 8</t>
        </is>
      </c>
      <c r="C544" s="75" t="n">
        <v>7</v>
      </c>
      <c r="D544" s="76" t="n"/>
      <c r="E544" s="76" t="n"/>
      <c r="F544" s="76" t="n"/>
      <c r="G544" s="77" t="n"/>
      <c r="H544" s="76" t="n"/>
    </row>
    <row r="545" ht="17" customHeight="1">
      <c r="A545" s="73" t="inlineStr">
        <is>
          <t>YILDIZ ERKEKLER</t>
        </is>
      </c>
      <c r="B545" s="78" t="inlineStr">
        <is>
          <t>Grup 8</t>
        </is>
      </c>
      <c r="C545" s="75" t="n">
        <v>8</v>
      </c>
      <c r="D545" s="76" t="n"/>
      <c r="E545" s="76" t="n"/>
      <c r="F545" s="76" t="n"/>
      <c r="G545" s="77" t="n"/>
      <c r="H545" s="76" t="n"/>
    </row>
    <row r="548" ht="22" customHeight="1">
      <c r="A548" s="49" t="inlineStr">
        <is>
          <t>GENÇ KIZLAR</t>
        </is>
      </c>
    </row>
    <row r="549" ht="20" customHeight="1">
      <c r="A549" s="62" t="inlineStr">
        <is>
          <t>KATEGORİ</t>
        </is>
      </c>
      <c r="B549" s="62" t="inlineStr">
        <is>
          <t>GRUP</t>
        </is>
      </c>
      <c r="C549" s="62" t="inlineStr">
        <is>
          <t>SIRA</t>
        </is>
      </c>
      <c r="D549" s="62" t="inlineStr">
        <is>
          <t>AD</t>
        </is>
      </c>
      <c r="E549" s="62" t="inlineStr">
        <is>
          <t>SOYAD</t>
        </is>
      </c>
      <c r="F549" s="62" t="inlineStr">
        <is>
          <t>OKUL / KULÜP</t>
        </is>
      </c>
      <c r="G549" s="62" t="inlineStr">
        <is>
          <t>TÜR</t>
        </is>
      </c>
      <c r="H549" s="62" t="inlineStr">
        <is>
          <t>ANTRENÖR / ÖĞR.</t>
        </is>
      </c>
    </row>
    <row r="550" ht="17" customHeight="1">
      <c r="A550" s="63" t="inlineStr">
        <is>
          <t>GENÇ KIZLAR</t>
        </is>
      </c>
      <c r="B550" s="64" t="inlineStr">
        <is>
          <t>Grup 1</t>
        </is>
      </c>
      <c r="C550" s="65" t="n">
        <v>1</v>
      </c>
      <c r="D550" s="30" t="n"/>
      <c r="E550" s="30" t="n"/>
      <c r="F550" s="30" t="n"/>
      <c r="G550" s="32" t="n"/>
      <c r="H550" s="30" t="n"/>
    </row>
    <row r="551" ht="17" customHeight="1">
      <c r="A551" s="63" t="inlineStr">
        <is>
          <t>GENÇ KIZLAR</t>
        </is>
      </c>
      <c r="B551" s="66" t="inlineStr">
        <is>
          <t>Grup 1</t>
        </is>
      </c>
      <c r="C551" s="65" t="n">
        <v>2</v>
      </c>
      <c r="D551" s="30" t="n"/>
      <c r="E551" s="30" t="n"/>
      <c r="F551" s="30" t="n"/>
      <c r="G551" s="32" t="n"/>
      <c r="H551" s="30" t="n"/>
    </row>
    <row r="552" ht="17" customHeight="1">
      <c r="A552" s="63" t="inlineStr">
        <is>
          <t>GENÇ KIZLAR</t>
        </is>
      </c>
      <c r="B552" s="66" t="inlineStr">
        <is>
          <t>Grup 1</t>
        </is>
      </c>
      <c r="C552" s="65" t="n">
        <v>3</v>
      </c>
      <c r="D552" s="30" t="n"/>
      <c r="E552" s="30" t="n"/>
      <c r="F552" s="30" t="n"/>
      <c r="G552" s="32" t="n"/>
      <c r="H552" s="30" t="n"/>
    </row>
    <row r="553" ht="17" customHeight="1">
      <c r="A553" s="63" t="inlineStr">
        <is>
          <t>GENÇ KIZLAR</t>
        </is>
      </c>
      <c r="B553" s="66" t="inlineStr">
        <is>
          <t>Grup 1</t>
        </is>
      </c>
      <c r="C553" s="65" t="n">
        <v>4</v>
      </c>
      <c r="D553" s="30" t="n"/>
      <c r="E553" s="30" t="n"/>
      <c r="F553" s="30" t="n"/>
      <c r="G553" s="32" t="n"/>
      <c r="H553" s="30" t="n"/>
    </row>
    <row r="554" ht="17" customHeight="1">
      <c r="A554" s="63" t="inlineStr">
        <is>
          <t>GENÇ KIZLAR</t>
        </is>
      </c>
      <c r="B554" s="66" t="inlineStr">
        <is>
          <t>Grup 1</t>
        </is>
      </c>
      <c r="C554" s="65" t="n">
        <v>5</v>
      </c>
      <c r="D554" s="30" t="n"/>
      <c r="E554" s="30" t="n"/>
      <c r="F554" s="30" t="n"/>
      <c r="G554" s="32" t="n"/>
      <c r="H554" s="30" t="n"/>
    </row>
    <row r="555" ht="17" customHeight="1">
      <c r="A555" s="63" t="inlineStr">
        <is>
          <t>GENÇ KIZLAR</t>
        </is>
      </c>
      <c r="B555" s="66" t="inlineStr">
        <is>
          <t>Grup 1</t>
        </is>
      </c>
      <c r="C555" s="65" t="n">
        <v>6</v>
      </c>
      <c r="D555" s="30" t="n"/>
      <c r="E555" s="30" t="n"/>
      <c r="F555" s="30" t="n"/>
      <c r="G555" s="32" t="n"/>
      <c r="H555" s="30" t="n"/>
    </row>
    <row r="556" ht="17" customHeight="1">
      <c r="A556" s="63" t="inlineStr">
        <is>
          <t>GENÇ KIZLAR</t>
        </is>
      </c>
      <c r="B556" s="66" t="inlineStr">
        <is>
          <t>Grup 1</t>
        </is>
      </c>
      <c r="C556" s="65" t="n">
        <v>7</v>
      </c>
      <c r="D556" s="30" t="n"/>
      <c r="E556" s="30" t="n"/>
      <c r="F556" s="30" t="n"/>
      <c r="G556" s="32" t="n"/>
      <c r="H556" s="30" t="n"/>
    </row>
    <row r="557" ht="17" customHeight="1">
      <c r="A557" s="63" t="inlineStr">
        <is>
          <t>GENÇ KIZLAR</t>
        </is>
      </c>
      <c r="B557" s="66" t="inlineStr">
        <is>
          <t>Grup 1</t>
        </is>
      </c>
      <c r="C557" s="65" t="n">
        <v>8</v>
      </c>
      <c r="D557" s="30" t="n"/>
      <c r="E557" s="30" t="n"/>
      <c r="F557" s="30" t="n"/>
      <c r="G557" s="32" t="n"/>
      <c r="H557" s="30" t="n"/>
    </row>
    <row r="558" ht="17" customHeight="1">
      <c r="A558" s="67" t="inlineStr">
        <is>
          <t>GENÇ KIZLAR</t>
        </is>
      </c>
      <c r="B558" s="68" t="inlineStr">
        <is>
          <t>Grup 2</t>
        </is>
      </c>
      <c r="C558" s="69" t="n">
        <v>1</v>
      </c>
      <c r="D558" s="70" t="n"/>
      <c r="E558" s="70" t="n"/>
      <c r="F558" s="70" t="n"/>
      <c r="G558" s="71" t="n"/>
      <c r="H558" s="70" t="n"/>
    </row>
    <row r="559" ht="17" customHeight="1">
      <c r="A559" s="67" t="inlineStr">
        <is>
          <t>GENÇ KIZLAR</t>
        </is>
      </c>
      <c r="B559" s="72" t="inlineStr">
        <is>
          <t>Grup 2</t>
        </is>
      </c>
      <c r="C559" s="69" t="n">
        <v>2</v>
      </c>
      <c r="D559" s="70" t="n"/>
      <c r="E559" s="70" t="n"/>
      <c r="F559" s="70" t="n"/>
      <c r="G559" s="71" t="n"/>
      <c r="H559" s="70" t="n"/>
    </row>
    <row r="560" ht="17" customHeight="1">
      <c r="A560" s="67" t="inlineStr">
        <is>
          <t>GENÇ KIZLAR</t>
        </is>
      </c>
      <c r="B560" s="72" t="inlineStr">
        <is>
          <t>Grup 2</t>
        </is>
      </c>
      <c r="C560" s="69" t="n">
        <v>3</v>
      </c>
      <c r="D560" s="70" t="n"/>
      <c r="E560" s="70" t="n"/>
      <c r="F560" s="70" t="n"/>
      <c r="G560" s="71" t="n"/>
      <c r="H560" s="70" t="n"/>
    </row>
    <row r="561" ht="17" customHeight="1">
      <c r="A561" s="67" t="inlineStr">
        <is>
          <t>GENÇ KIZLAR</t>
        </is>
      </c>
      <c r="B561" s="72" t="inlineStr">
        <is>
          <t>Grup 2</t>
        </is>
      </c>
      <c r="C561" s="69" t="n">
        <v>4</v>
      </c>
      <c r="D561" s="70" t="n"/>
      <c r="E561" s="70" t="n"/>
      <c r="F561" s="70" t="n"/>
      <c r="G561" s="71" t="n"/>
      <c r="H561" s="70" t="n"/>
    </row>
    <row r="562" ht="17" customHeight="1">
      <c r="A562" s="67" t="inlineStr">
        <is>
          <t>GENÇ KIZLAR</t>
        </is>
      </c>
      <c r="B562" s="72" t="inlineStr">
        <is>
          <t>Grup 2</t>
        </is>
      </c>
      <c r="C562" s="69" t="n">
        <v>5</v>
      </c>
      <c r="D562" s="70" t="n"/>
      <c r="E562" s="70" t="n"/>
      <c r="F562" s="70" t="n"/>
      <c r="G562" s="71" t="n"/>
      <c r="H562" s="70" t="n"/>
    </row>
    <row r="563" ht="17" customHeight="1">
      <c r="A563" s="67" t="inlineStr">
        <is>
          <t>GENÇ KIZLAR</t>
        </is>
      </c>
      <c r="B563" s="72" t="inlineStr">
        <is>
          <t>Grup 2</t>
        </is>
      </c>
      <c r="C563" s="69" t="n">
        <v>6</v>
      </c>
      <c r="D563" s="70" t="n"/>
      <c r="E563" s="70" t="n"/>
      <c r="F563" s="70" t="n"/>
      <c r="G563" s="71" t="n"/>
      <c r="H563" s="70" t="n"/>
    </row>
    <row r="564" ht="17" customHeight="1">
      <c r="A564" s="67" t="inlineStr">
        <is>
          <t>GENÇ KIZLAR</t>
        </is>
      </c>
      <c r="B564" s="72" t="inlineStr">
        <is>
          <t>Grup 2</t>
        </is>
      </c>
      <c r="C564" s="69" t="n">
        <v>7</v>
      </c>
      <c r="D564" s="70" t="n"/>
      <c r="E564" s="70" t="n"/>
      <c r="F564" s="70" t="n"/>
      <c r="G564" s="71" t="n"/>
      <c r="H564" s="70" t="n"/>
    </row>
    <row r="565" ht="17" customHeight="1">
      <c r="A565" s="67" t="inlineStr">
        <is>
          <t>GENÇ KIZLAR</t>
        </is>
      </c>
      <c r="B565" s="72" t="inlineStr">
        <is>
          <t>Grup 2</t>
        </is>
      </c>
      <c r="C565" s="69" t="n">
        <v>8</v>
      </c>
      <c r="D565" s="70" t="n"/>
      <c r="E565" s="70" t="n"/>
      <c r="F565" s="70" t="n"/>
      <c r="G565" s="71" t="n"/>
      <c r="H565" s="70" t="n"/>
    </row>
    <row r="566" ht="17" customHeight="1">
      <c r="A566" s="63" t="inlineStr">
        <is>
          <t>GENÇ KIZLAR</t>
        </is>
      </c>
      <c r="B566" s="64" t="inlineStr">
        <is>
          <t>Grup 3</t>
        </is>
      </c>
      <c r="C566" s="65" t="n">
        <v>1</v>
      </c>
      <c r="D566" s="30" t="n"/>
      <c r="E566" s="30" t="n"/>
      <c r="F566" s="30" t="n"/>
      <c r="G566" s="32" t="n"/>
      <c r="H566" s="30" t="n"/>
    </row>
    <row r="567" ht="17" customHeight="1">
      <c r="A567" s="63" t="inlineStr">
        <is>
          <t>GENÇ KIZLAR</t>
        </is>
      </c>
      <c r="B567" s="66" t="inlineStr">
        <is>
          <t>Grup 3</t>
        </is>
      </c>
      <c r="C567" s="65" t="n">
        <v>2</v>
      </c>
      <c r="D567" s="30" t="n"/>
      <c r="E567" s="30" t="n"/>
      <c r="F567" s="30" t="n"/>
      <c r="G567" s="32" t="n"/>
      <c r="H567" s="30" t="n"/>
    </row>
    <row r="568" ht="17" customHeight="1">
      <c r="A568" s="63" t="inlineStr">
        <is>
          <t>GENÇ KIZLAR</t>
        </is>
      </c>
      <c r="B568" s="66" t="inlineStr">
        <is>
          <t>Grup 3</t>
        </is>
      </c>
      <c r="C568" s="65" t="n">
        <v>3</v>
      </c>
      <c r="D568" s="30" t="n"/>
      <c r="E568" s="30" t="n"/>
      <c r="F568" s="30" t="n"/>
      <c r="G568" s="32" t="n"/>
      <c r="H568" s="30" t="n"/>
    </row>
    <row r="569" ht="17" customHeight="1">
      <c r="A569" s="63" t="inlineStr">
        <is>
          <t>GENÇ KIZLAR</t>
        </is>
      </c>
      <c r="B569" s="66" t="inlineStr">
        <is>
          <t>Grup 3</t>
        </is>
      </c>
      <c r="C569" s="65" t="n">
        <v>4</v>
      </c>
      <c r="D569" s="30" t="n"/>
      <c r="E569" s="30" t="n"/>
      <c r="F569" s="30" t="n"/>
      <c r="G569" s="32" t="n"/>
      <c r="H569" s="30" t="n"/>
    </row>
    <row r="570" ht="17" customHeight="1">
      <c r="A570" s="63" t="inlineStr">
        <is>
          <t>GENÇ KIZLAR</t>
        </is>
      </c>
      <c r="B570" s="66" t="inlineStr">
        <is>
          <t>Grup 3</t>
        </is>
      </c>
      <c r="C570" s="65" t="n">
        <v>5</v>
      </c>
      <c r="D570" s="30" t="n"/>
      <c r="E570" s="30" t="n"/>
      <c r="F570" s="30" t="n"/>
      <c r="G570" s="32" t="n"/>
      <c r="H570" s="30" t="n"/>
    </row>
    <row r="571" ht="17" customHeight="1">
      <c r="A571" s="63" t="inlineStr">
        <is>
          <t>GENÇ KIZLAR</t>
        </is>
      </c>
      <c r="B571" s="66" t="inlineStr">
        <is>
          <t>Grup 3</t>
        </is>
      </c>
      <c r="C571" s="65" t="n">
        <v>6</v>
      </c>
      <c r="D571" s="30" t="n"/>
      <c r="E571" s="30" t="n"/>
      <c r="F571" s="30" t="n"/>
      <c r="G571" s="32" t="n"/>
      <c r="H571" s="30" t="n"/>
    </row>
    <row r="572" ht="17" customHeight="1">
      <c r="A572" s="63" t="inlineStr">
        <is>
          <t>GENÇ KIZLAR</t>
        </is>
      </c>
      <c r="B572" s="66" t="inlineStr">
        <is>
          <t>Grup 3</t>
        </is>
      </c>
      <c r="C572" s="65" t="n">
        <v>7</v>
      </c>
      <c r="D572" s="30" t="n"/>
      <c r="E572" s="30" t="n"/>
      <c r="F572" s="30" t="n"/>
      <c r="G572" s="32" t="n"/>
      <c r="H572" s="30" t="n"/>
    </row>
    <row r="573" ht="17" customHeight="1">
      <c r="A573" s="63" t="inlineStr">
        <is>
          <t>GENÇ KIZLAR</t>
        </is>
      </c>
      <c r="B573" s="66" t="inlineStr">
        <is>
          <t>Grup 3</t>
        </is>
      </c>
      <c r="C573" s="65" t="n">
        <v>8</v>
      </c>
      <c r="D573" s="30" t="n"/>
      <c r="E573" s="30" t="n"/>
      <c r="F573" s="30" t="n"/>
      <c r="G573" s="32" t="n"/>
      <c r="H573" s="30" t="n"/>
    </row>
    <row r="574" ht="17" customHeight="1">
      <c r="A574" s="67" t="inlineStr">
        <is>
          <t>GENÇ KIZLAR</t>
        </is>
      </c>
      <c r="B574" s="68" t="inlineStr">
        <is>
          <t>Grup 4</t>
        </is>
      </c>
      <c r="C574" s="69" t="n">
        <v>1</v>
      </c>
      <c r="D574" s="70" t="n"/>
      <c r="E574" s="70" t="n"/>
      <c r="F574" s="70" t="n"/>
      <c r="G574" s="71" t="n"/>
      <c r="H574" s="70" t="n"/>
    </row>
    <row r="575" ht="17" customHeight="1">
      <c r="A575" s="67" t="inlineStr">
        <is>
          <t>GENÇ KIZLAR</t>
        </is>
      </c>
      <c r="B575" s="72" t="inlineStr">
        <is>
          <t>Grup 4</t>
        </is>
      </c>
      <c r="C575" s="69" t="n">
        <v>2</v>
      </c>
      <c r="D575" s="70" t="n"/>
      <c r="E575" s="70" t="n"/>
      <c r="F575" s="70" t="n"/>
      <c r="G575" s="71" t="n"/>
      <c r="H575" s="70" t="n"/>
    </row>
    <row r="576" ht="17" customHeight="1">
      <c r="A576" s="67" t="inlineStr">
        <is>
          <t>GENÇ KIZLAR</t>
        </is>
      </c>
      <c r="B576" s="72" t="inlineStr">
        <is>
          <t>Grup 4</t>
        </is>
      </c>
      <c r="C576" s="69" t="n">
        <v>3</v>
      </c>
      <c r="D576" s="70" t="n"/>
      <c r="E576" s="70" t="n"/>
      <c r="F576" s="70" t="n"/>
      <c r="G576" s="71" t="n"/>
      <c r="H576" s="70" t="n"/>
    </row>
    <row r="577" ht="17" customHeight="1">
      <c r="A577" s="67" t="inlineStr">
        <is>
          <t>GENÇ KIZLAR</t>
        </is>
      </c>
      <c r="B577" s="72" t="inlineStr">
        <is>
          <t>Grup 4</t>
        </is>
      </c>
      <c r="C577" s="69" t="n">
        <v>4</v>
      </c>
      <c r="D577" s="70" t="n"/>
      <c r="E577" s="70" t="n"/>
      <c r="F577" s="70" t="n"/>
      <c r="G577" s="71" t="n"/>
      <c r="H577" s="70" t="n"/>
    </row>
    <row r="578" ht="17" customHeight="1">
      <c r="A578" s="67" t="inlineStr">
        <is>
          <t>GENÇ KIZLAR</t>
        </is>
      </c>
      <c r="B578" s="72" t="inlineStr">
        <is>
          <t>Grup 4</t>
        </is>
      </c>
      <c r="C578" s="69" t="n">
        <v>5</v>
      </c>
      <c r="D578" s="70" t="n"/>
      <c r="E578" s="70" t="n"/>
      <c r="F578" s="70" t="n"/>
      <c r="G578" s="71" t="n"/>
      <c r="H578" s="70" t="n"/>
    </row>
    <row r="579" ht="17" customHeight="1">
      <c r="A579" s="67" t="inlineStr">
        <is>
          <t>GENÇ KIZLAR</t>
        </is>
      </c>
      <c r="B579" s="72" t="inlineStr">
        <is>
          <t>Grup 4</t>
        </is>
      </c>
      <c r="C579" s="69" t="n">
        <v>6</v>
      </c>
      <c r="D579" s="70" t="n"/>
      <c r="E579" s="70" t="n"/>
      <c r="F579" s="70" t="n"/>
      <c r="G579" s="71" t="n"/>
      <c r="H579" s="70" t="n"/>
    </row>
    <row r="580" ht="17" customHeight="1">
      <c r="A580" s="67" t="inlineStr">
        <is>
          <t>GENÇ KIZLAR</t>
        </is>
      </c>
      <c r="B580" s="72" t="inlineStr">
        <is>
          <t>Grup 4</t>
        </is>
      </c>
      <c r="C580" s="69" t="n">
        <v>7</v>
      </c>
      <c r="D580" s="70" t="n"/>
      <c r="E580" s="70" t="n"/>
      <c r="F580" s="70" t="n"/>
      <c r="G580" s="71" t="n"/>
      <c r="H580" s="70" t="n"/>
    </row>
    <row r="581" ht="17" customHeight="1">
      <c r="A581" s="67" t="inlineStr">
        <is>
          <t>GENÇ KIZLAR</t>
        </is>
      </c>
      <c r="B581" s="72" t="inlineStr">
        <is>
          <t>Grup 4</t>
        </is>
      </c>
      <c r="C581" s="69" t="n">
        <v>8</v>
      </c>
      <c r="D581" s="70" t="n"/>
      <c r="E581" s="70" t="n"/>
      <c r="F581" s="70" t="n"/>
      <c r="G581" s="71" t="n"/>
      <c r="H581" s="70" t="n"/>
    </row>
    <row r="582" ht="17" customHeight="1">
      <c r="A582" s="63" t="inlineStr">
        <is>
          <t>GENÇ KIZLAR</t>
        </is>
      </c>
      <c r="B582" s="64" t="inlineStr">
        <is>
          <t>Grup 5</t>
        </is>
      </c>
      <c r="C582" s="65" t="n">
        <v>1</v>
      </c>
      <c r="D582" s="30" t="n"/>
      <c r="E582" s="30" t="n"/>
      <c r="F582" s="30" t="n"/>
      <c r="G582" s="32" t="n"/>
      <c r="H582" s="30" t="n"/>
    </row>
    <row r="583" ht="17" customHeight="1">
      <c r="A583" s="63" t="inlineStr">
        <is>
          <t>GENÇ KIZLAR</t>
        </is>
      </c>
      <c r="B583" s="66" t="inlineStr">
        <is>
          <t>Grup 5</t>
        </is>
      </c>
      <c r="C583" s="65" t="n">
        <v>2</v>
      </c>
      <c r="D583" s="30" t="n"/>
      <c r="E583" s="30" t="n"/>
      <c r="F583" s="30" t="n"/>
      <c r="G583" s="32" t="n"/>
      <c r="H583" s="30" t="n"/>
    </row>
    <row r="584" ht="17" customHeight="1">
      <c r="A584" s="63" t="inlineStr">
        <is>
          <t>GENÇ KIZLAR</t>
        </is>
      </c>
      <c r="B584" s="66" t="inlineStr">
        <is>
          <t>Grup 5</t>
        </is>
      </c>
      <c r="C584" s="65" t="n">
        <v>3</v>
      </c>
      <c r="D584" s="30" t="n"/>
      <c r="E584" s="30" t="n"/>
      <c r="F584" s="30" t="n"/>
      <c r="G584" s="32" t="n"/>
      <c r="H584" s="30" t="n"/>
    </row>
    <row r="585" ht="17" customHeight="1">
      <c r="A585" s="63" t="inlineStr">
        <is>
          <t>GENÇ KIZLAR</t>
        </is>
      </c>
      <c r="B585" s="66" t="inlineStr">
        <is>
          <t>Grup 5</t>
        </is>
      </c>
      <c r="C585" s="65" t="n">
        <v>4</v>
      </c>
      <c r="D585" s="30" t="n"/>
      <c r="E585" s="30" t="n"/>
      <c r="F585" s="30" t="n"/>
      <c r="G585" s="32" t="n"/>
      <c r="H585" s="30" t="n"/>
    </row>
    <row r="586" ht="17" customHeight="1">
      <c r="A586" s="63" t="inlineStr">
        <is>
          <t>GENÇ KIZLAR</t>
        </is>
      </c>
      <c r="B586" s="66" t="inlineStr">
        <is>
          <t>Grup 5</t>
        </is>
      </c>
      <c r="C586" s="65" t="n">
        <v>5</v>
      </c>
      <c r="D586" s="30" t="n"/>
      <c r="E586" s="30" t="n"/>
      <c r="F586" s="30" t="n"/>
      <c r="G586" s="32" t="n"/>
      <c r="H586" s="30" t="n"/>
    </row>
    <row r="587" ht="17" customHeight="1">
      <c r="A587" s="63" t="inlineStr">
        <is>
          <t>GENÇ KIZLAR</t>
        </is>
      </c>
      <c r="B587" s="66" t="inlineStr">
        <is>
          <t>Grup 5</t>
        </is>
      </c>
      <c r="C587" s="65" t="n">
        <v>6</v>
      </c>
      <c r="D587" s="30" t="n"/>
      <c r="E587" s="30" t="n"/>
      <c r="F587" s="30" t="n"/>
      <c r="G587" s="32" t="n"/>
      <c r="H587" s="30" t="n"/>
    </row>
    <row r="588" ht="17" customHeight="1">
      <c r="A588" s="63" t="inlineStr">
        <is>
          <t>GENÇ KIZLAR</t>
        </is>
      </c>
      <c r="B588" s="66" t="inlineStr">
        <is>
          <t>Grup 5</t>
        </is>
      </c>
      <c r="C588" s="65" t="n">
        <v>7</v>
      </c>
      <c r="D588" s="30" t="n"/>
      <c r="E588" s="30" t="n"/>
      <c r="F588" s="30" t="n"/>
      <c r="G588" s="32" t="n"/>
      <c r="H588" s="30" t="n"/>
    </row>
    <row r="589" ht="17" customHeight="1">
      <c r="A589" s="63" t="inlineStr">
        <is>
          <t>GENÇ KIZLAR</t>
        </is>
      </c>
      <c r="B589" s="66" t="inlineStr">
        <is>
          <t>Grup 5</t>
        </is>
      </c>
      <c r="C589" s="65" t="n">
        <v>8</v>
      </c>
      <c r="D589" s="30" t="n"/>
      <c r="E589" s="30" t="n"/>
      <c r="F589" s="30" t="n"/>
      <c r="G589" s="32" t="n"/>
      <c r="H589" s="30" t="n"/>
    </row>
    <row r="590" ht="17" customHeight="1">
      <c r="A590" s="67" t="inlineStr">
        <is>
          <t>GENÇ KIZLAR</t>
        </is>
      </c>
      <c r="B590" s="68" t="inlineStr">
        <is>
          <t>Grup 6</t>
        </is>
      </c>
      <c r="C590" s="69" t="n">
        <v>1</v>
      </c>
      <c r="D590" s="70" t="n"/>
      <c r="E590" s="70" t="n"/>
      <c r="F590" s="70" t="n"/>
      <c r="G590" s="71" t="n"/>
      <c r="H590" s="70" t="n"/>
    </row>
    <row r="591" ht="17" customHeight="1">
      <c r="A591" s="67" t="inlineStr">
        <is>
          <t>GENÇ KIZLAR</t>
        </is>
      </c>
      <c r="B591" s="72" t="inlineStr">
        <is>
          <t>Grup 6</t>
        </is>
      </c>
      <c r="C591" s="69" t="n">
        <v>2</v>
      </c>
      <c r="D591" s="70" t="n"/>
      <c r="E591" s="70" t="n"/>
      <c r="F591" s="70" t="n"/>
      <c r="G591" s="71" t="n"/>
      <c r="H591" s="70" t="n"/>
    </row>
    <row r="592" ht="17" customHeight="1">
      <c r="A592" s="67" t="inlineStr">
        <is>
          <t>GENÇ KIZLAR</t>
        </is>
      </c>
      <c r="B592" s="72" t="inlineStr">
        <is>
          <t>Grup 6</t>
        </is>
      </c>
      <c r="C592" s="69" t="n">
        <v>3</v>
      </c>
      <c r="D592" s="70" t="n"/>
      <c r="E592" s="70" t="n"/>
      <c r="F592" s="70" t="n"/>
      <c r="G592" s="71" t="n"/>
      <c r="H592" s="70" t="n"/>
    </row>
    <row r="593" ht="17" customHeight="1">
      <c r="A593" s="67" t="inlineStr">
        <is>
          <t>GENÇ KIZLAR</t>
        </is>
      </c>
      <c r="B593" s="72" t="inlineStr">
        <is>
          <t>Grup 6</t>
        </is>
      </c>
      <c r="C593" s="69" t="n">
        <v>4</v>
      </c>
      <c r="D593" s="70" t="n"/>
      <c r="E593" s="70" t="n"/>
      <c r="F593" s="70" t="n"/>
      <c r="G593" s="71" t="n"/>
      <c r="H593" s="70" t="n"/>
    </row>
    <row r="594" ht="17" customHeight="1">
      <c r="A594" s="67" t="inlineStr">
        <is>
          <t>GENÇ KIZLAR</t>
        </is>
      </c>
      <c r="B594" s="72" t="inlineStr">
        <is>
          <t>Grup 6</t>
        </is>
      </c>
      <c r="C594" s="69" t="n">
        <v>5</v>
      </c>
      <c r="D594" s="70" t="n"/>
      <c r="E594" s="70" t="n"/>
      <c r="F594" s="70" t="n"/>
      <c r="G594" s="71" t="n"/>
      <c r="H594" s="70" t="n"/>
    </row>
    <row r="595" ht="17" customHeight="1">
      <c r="A595" s="67" t="inlineStr">
        <is>
          <t>GENÇ KIZLAR</t>
        </is>
      </c>
      <c r="B595" s="72" t="inlineStr">
        <is>
          <t>Grup 6</t>
        </is>
      </c>
      <c r="C595" s="69" t="n">
        <v>6</v>
      </c>
      <c r="D595" s="70" t="n"/>
      <c r="E595" s="70" t="n"/>
      <c r="F595" s="70" t="n"/>
      <c r="G595" s="71" t="n"/>
      <c r="H595" s="70" t="n"/>
    </row>
    <row r="596" ht="17" customHeight="1">
      <c r="A596" s="67" t="inlineStr">
        <is>
          <t>GENÇ KIZLAR</t>
        </is>
      </c>
      <c r="B596" s="72" t="inlineStr">
        <is>
          <t>Grup 6</t>
        </is>
      </c>
      <c r="C596" s="69" t="n">
        <v>7</v>
      </c>
      <c r="D596" s="70" t="n"/>
      <c r="E596" s="70" t="n"/>
      <c r="F596" s="70" t="n"/>
      <c r="G596" s="71" t="n"/>
      <c r="H596" s="70" t="n"/>
    </row>
    <row r="597" ht="17" customHeight="1">
      <c r="A597" s="67" t="inlineStr">
        <is>
          <t>GENÇ KIZLAR</t>
        </is>
      </c>
      <c r="B597" s="72" t="inlineStr">
        <is>
          <t>Grup 6</t>
        </is>
      </c>
      <c r="C597" s="69" t="n">
        <v>8</v>
      </c>
      <c r="D597" s="70" t="n"/>
      <c r="E597" s="70" t="n"/>
      <c r="F597" s="70" t="n"/>
      <c r="G597" s="71" t="n"/>
      <c r="H597" s="70" t="n"/>
    </row>
    <row r="598" ht="17" customHeight="1">
      <c r="A598" s="63" t="inlineStr">
        <is>
          <t>GENÇ KIZLAR</t>
        </is>
      </c>
      <c r="B598" s="64" t="inlineStr">
        <is>
          <t>Grup 7</t>
        </is>
      </c>
      <c r="C598" s="65" t="n">
        <v>1</v>
      </c>
      <c r="D598" s="30" t="n"/>
      <c r="E598" s="30" t="n"/>
      <c r="F598" s="30" t="n"/>
      <c r="G598" s="32" t="n"/>
      <c r="H598" s="30" t="n"/>
    </row>
    <row r="599" ht="17" customHeight="1">
      <c r="A599" s="63" t="inlineStr">
        <is>
          <t>GENÇ KIZLAR</t>
        </is>
      </c>
      <c r="B599" s="66" t="inlineStr">
        <is>
          <t>Grup 7</t>
        </is>
      </c>
      <c r="C599" s="65" t="n">
        <v>2</v>
      </c>
      <c r="D599" s="30" t="n"/>
      <c r="E599" s="30" t="n"/>
      <c r="F599" s="30" t="n"/>
      <c r="G599" s="32" t="n"/>
      <c r="H599" s="30" t="n"/>
    </row>
    <row r="600" ht="17" customHeight="1">
      <c r="A600" s="63" t="inlineStr">
        <is>
          <t>GENÇ KIZLAR</t>
        </is>
      </c>
      <c r="B600" s="66" t="inlineStr">
        <is>
          <t>Grup 7</t>
        </is>
      </c>
      <c r="C600" s="65" t="n">
        <v>3</v>
      </c>
      <c r="D600" s="30" t="n"/>
      <c r="E600" s="30" t="n"/>
      <c r="F600" s="30" t="n"/>
      <c r="G600" s="32" t="n"/>
      <c r="H600" s="30" t="n"/>
    </row>
    <row r="601" ht="17" customHeight="1">
      <c r="A601" s="63" t="inlineStr">
        <is>
          <t>GENÇ KIZLAR</t>
        </is>
      </c>
      <c r="B601" s="66" t="inlineStr">
        <is>
          <t>Grup 7</t>
        </is>
      </c>
      <c r="C601" s="65" t="n">
        <v>4</v>
      </c>
      <c r="D601" s="30" t="n"/>
      <c r="E601" s="30" t="n"/>
      <c r="F601" s="30" t="n"/>
      <c r="G601" s="32" t="n"/>
      <c r="H601" s="30" t="n"/>
    </row>
    <row r="602" ht="17" customHeight="1">
      <c r="A602" s="63" t="inlineStr">
        <is>
          <t>GENÇ KIZLAR</t>
        </is>
      </c>
      <c r="B602" s="66" t="inlineStr">
        <is>
          <t>Grup 7</t>
        </is>
      </c>
      <c r="C602" s="65" t="n">
        <v>5</v>
      </c>
      <c r="D602" s="30" t="n"/>
      <c r="E602" s="30" t="n"/>
      <c r="F602" s="30" t="n"/>
      <c r="G602" s="32" t="n"/>
      <c r="H602" s="30" t="n"/>
    </row>
    <row r="603" ht="17" customHeight="1">
      <c r="A603" s="63" t="inlineStr">
        <is>
          <t>GENÇ KIZLAR</t>
        </is>
      </c>
      <c r="B603" s="66" t="inlineStr">
        <is>
          <t>Grup 7</t>
        </is>
      </c>
      <c r="C603" s="65" t="n">
        <v>6</v>
      </c>
      <c r="D603" s="30" t="n"/>
      <c r="E603" s="30" t="n"/>
      <c r="F603" s="30" t="n"/>
      <c r="G603" s="32" t="n"/>
      <c r="H603" s="30" t="n"/>
    </row>
    <row r="604" ht="17" customHeight="1">
      <c r="A604" s="63" t="inlineStr">
        <is>
          <t>GENÇ KIZLAR</t>
        </is>
      </c>
      <c r="B604" s="66" t="inlineStr">
        <is>
          <t>Grup 7</t>
        </is>
      </c>
      <c r="C604" s="65" t="n">
        <v>7</v>
      </c>
      <c r="D604" s="30" t="n"/>
      <c r="E604" s="30" t="n"/>
      <c r="F604" s="30" t="n"/>
      <c r="G604" s="32" t="n"/>
      <c r="H604" s="30" t="n"/>
    </row>
    <row r="605" ht="17" customHeight="1">
      <c r="A605" s="63" t="inlineStr">
        <is>
          <t>GENÇ KIZLAR</t>
        </is>
      </c>
      <c r="B605" s="66" t="inlineStr">
        <is>
          <t>Grup 7</t>
        </is>
      </c>
      <c r="C605" s="65" t="n">
        <v>8</v>
      </c>
      <c r="D605" s="30" t="n"/>
      <c r="E605" s="30" t="n"/>
      <c r="F605" s="30" t="n"/>
      <c r="G605" s="32" t="n"/>
      <c r="H605" s="30" t="n"/>
    </row>
    <row r="606" ht="17" customHeight="1">
      <c r="A606" s="67" t="inlineStr">
        <is>
          <t>GENÇ KIZLAR</t>
        </is>
      </c>
      <c r="B606" s="68" t="inlineStr">
        <is>
          <t>Grup 8</t>
        </is>
      </c>
      <c r="C606" s="69" t="n">
        <v>1</v>
      </c>
      <c r="D606" s="70" t="n"/>
      <c r="E606" s="70" t="n"/>
      <c r="F606" s="70" t="n"/>
      <c r="G606" s="71" t="n"/>
      <c r="H606" s="70" t="n"/>
    </row>
    <row r="607" ht="17" customHeight="1">
      <c r="A607" s="67" t="inlineStr">
        <is>
          <t>GENÇ KIZLAR</t>
        </is>
      </c>
      <c r="B607" s="72" t="inlineStr">
        <is>
          <t>Grup 8</t>
        </is>
      </c>
      <c r="C607" s="69" t="n">
        <v>2</v>
      </c>
      <c r="D607" s="70" t="n"/>
      <c r="E607" s="70" t="n"/>
      <c r="F607" s="70" t="n"/>
      <c r="G607" s="71" t="n"/>
      <c r="H607" s="70" t="n"/>
    </row>
    <row r="608" ht="17" customHeight="1">
      <c r="A608" s="67" t="inlineStr">
        <is>
          <t>GENÇ KIZLAR</t>
        </is>
      </c>
      <c r="B608" s="72" t="inlineStr">
        <is>
          <t>Grup 8</t>
        </is>
      </c>
      <c r="C608" s="69" t="n">
        <v>3</v>
      </c>
      <c r="D608" s="70" t="n"/>
      <c r="E608" s="70" t="n"/>
      <c r="F608" s="70" t="n"/>
      <c r="G608" s="71" t="n"/>
      <c r="H608" s="70" t="n"/>
    </row>
    <row r="609" ht="17" customHeight="1">
      <c r="A609" s="67" t="inlineStr">
        <is>
          <t>GENÇ KIZLAR</t>
        </is>
      </c>
      <c r="B609" s="72" t="inlineStr">
        <is>
          <t>Grup 8</t>
        </is>
      </c>
      <c r="C609" s="69" t="n">
        <v>4</v>
      </c>
      <c r="D609" s="70" t="n"/>
      <c r="E609" s="70" t="n"/>
      <c r="F609" s="70" t="n"/>
      <c r="G609" s="71" t="n"/>
      <c r="H609" s="70" t="n"/>
    </row>
    <row r="610" ht="17" customHeight="1">
      <c r="A610" s="67" t="inlineStr">
        <is>
          <t>GENÇ KIZLAR</t>
        </is>
      </c>
      <c r="B610" s="72" t="inlineStr">
        <is>
          <t>Grup 8</t>
        </is>
      </c>
      <c r="C610" s="69" t="n">
        <v>5</v>
      </c>
      <c r="D610" s="70" t="n"/>
      <c r="E610" s="70" t="n"/>
      <c r="F610" s="70" t="n"/>
      <c r="G610" s="71" t="n"/>
      <c r="H610" s="70" t="n"/>
    </row>
    <row r="611" ht="17" customHeight="1">
      <c r="A611" s="67" t="inlineStr">
        <is>
          <t>GENÇ KIZLAR</t>
        </is>
      </c>
      <c r="B611" s="72" t="inlineStr">
        <is>
          <t>Grup 8</t>
        </is>
      </c>
      <c r="C611" s="69" t="n">
        <v>6</v>
      </c>
      <c r="D611" s="70" t="n"/>
      <c r="E611" s="70" t="n"/>
      <c r="F611" s="70" t="n"/>
      <c r="G611" s="71" t="n"/>
      <c r="H611" s="70" t="n"/>
    </row>
    <row r="612" ht="17" customHeight="1">
      <c r="A612" s="67" t="inlineStr">
        <is>
          <t>GENÇ KIZLAR</t>
        </is>
      </c>
      <c r="B612" s="72" t="inlineStr">
        <is>
          <t>Grup 8</t>
        </is>
      </c>
      <c r="C612" s="69" t="n">
        <v>7</v>
      </c>
      <c r="D612" s="70" t="n"/>
      <c r="E612" s="70" t="n"/>
      <c r="F612" s="70" t="n"/>
      <c r="G612" s="71" t="n"/>
      <c r="H612" s="70" t="n"/>
    </row>
    <row r="613" ht="17" customHeight="1">
      <c r="A613" s="67" t="inlineStr">
        <is>
          <t>GENÇ KIZLAR</t>
        </is>
      </c>
      <c r="B613" s="72" t="inlineStr">
        <is>
          <t>Grup 8</t>
        </is>
      </c>
      <c r="C613" s="69" t="n">
        <v>8</v>
      </c>
      <c r="D613" s="70" t="n"/>
      <c r="E613" s="70" t="n"/>
      <c r="F613" s="70" t="n"/>
      <c r="G613" s="71" t="n"/>
      <c r="H613" s="70" t="n"/>
    </row>
    <row r="616" ht="22" customHeight="1">
      <c r="A616" s="54" t="inlineStr">
        <is>
          <t>GENÇ ERKEKLER</t>
        </is>
      </c>
    </row>
    <row r="617" ht="20" customHeight="1">
      <c r="A617" s="62" t="inlineStr">
        <is>
          <t>KATEGORİ</t>
        </is>
      </c>
      <c r="B617" s="62" t="inlineStr">
        <is>
          <t>GRUP</t>
        </is>
      </c>
      <c r="C617" s="62" t="inlineStr">
        <is>
          <t>SIRA</t>
        </is>
      </c>
      <c r="D617" s="62" t="inlineStr">
        <is>
          <t>AD</t>
        </is>
      </c>
      <c r="E617" s="62" t="inlineStr">
        <is>
          <t>SOYAD</t>
        </is>
      </c>
      <c r="F617" s="62" t="inlineStr">
        <is>
          <t>OKUL / KULÜP</t>
        </is>
      </c>
      <c r="G617" s="62" t="inlineStr">
        <is>
          <t>TÜR</t>
        </is>
      </c>
      <c r="H617" s="62" t="inlineStr">
        <is>
          <t>ANTRENÖR / ÖĞR.</t>
        </is>
      </c>
    </row>
    <row r="618" ht="17" customHeight="1">
      <c r="A618" s="63" t="inlineStr">
        <is>
          <t>GENÇ ERKEKLER</t>
        </is>
      </c>
      <c r="B618" s="64" t="inlineStr">
        <is>
          <t>Grup 1</t>
        </is>
      </c>
      <c r="C618" s="65" t="n">
        <v>1</v>
      </c>
      <c r="D618" s="30" t="n"/>
      <c r="E618" s="30" t="n"/>
      <c r="F618" s="30" t="n"/>
      <c r="G618" s="32" t="n"/>
      <c r="H618" s="30" t="n"/>
    </row>
    <row r="619" ht="17" customHeight="1">
      <c r="A619" s="63" t="inlineStr">
        <is>
          <t>GENÇ ERKEKLER</t>
        </is>
      </c>
      <c r="B619" s="66" t="inlineStr">
        <is>
          <t>Grup 1</t>
        </is>
      </c>
      <c r="C619" s="65" t="n">
        <v>2</v>
      </c>
      <c r="D619" s="30" t="n"/>
      <c r="E619" s="30" t="n"/>
      <c r="F619" s="30" t="n"/>
      <c r="G619" s="32" t="n"/>
      <c r="H619" s="30" t="n"/>
    </row>
    <row r="620" ht="17" customHeight="1">
      <c r="A620" s="63" t="inlineStr">
        <is>
          <t>GENÇ ERKEKLER</t>
        </is>
      </c>
      <c r="B620" s="66" t="inlineStr">
        <is>
          <t>Grup 1</t>
        </is>
      </c>
      <c r="C620" s="65" t="n">
        <v>3</v>
      </c>
      <c r="D620" s="30" t="n"/>
      <c r="E620" s="30" t="n"/>
      <c r="F620" s="30" t="n"/>
      <c r="G620" s="32" t="n"/>
      <c r="H620" s="30" t="n"/>
    </row>
    <row r="621" ht="17" customHeight="1">
      <c r="A621" s="63" t="inlineStr">
        <is>
          <t>GENÇ ERKEKLER</t>
        </is>
      </c>
      <c r="B621" s="66" t="inlineStr">
        <is>
          <t>Grup 1</t>
        </is>
      </c>
      <c r="C621" s="65" t="n">
        <v>4</v>
      </c>
      <c r="D621" s="30" t="n"/>
      <c r="E621" s="30" t="n"/>
      <c r="F621" s="30" t="n"/>
      <c r="G621" s="32" t="n"/>
      <c r="H621" s="30" t="n"/>
    </row>
    <row r="622" ht="17" customHeight="1">
      <c r="A622" s="63" t="inlineStr">
        <is>
          <t>GENÇ ERKEKLER</t>
        </is>
      </c>
      <c r="B622" s="66" t="inlineStr">
        <is>
          <t>Grup 1</t>
        </is>
      </c>
      <c r="C622" s="65" t="n">
        <v>5</v>
      </c>
      <c r="D622" s="30" t="n"/>
      <c r="E622" s="30" t="n"/>
      <c r="F622" s="30" t="n"/>
      <c r="G622" s="32" t="n"/>
      <c r="H622" s="30" t="n"/>
    </row>
    <row r="623" ht="17" customHeight="1">
      <c r="A623" s="63" t="inlineStr">
        <is>
          <t>GENÇ ERKEKLER</t>
        </is>
      </c>
      <c r="B623" s="66" t="inlineStr">
        <is>
          <t>Grup 1</t>
        </is>
      </c>
      <c r="C623" s="65" t="n">
        <v>6</v>
      </c>
      <c r="D623" s="30" t="n"/>
      <c r="E623" s="30" t="n"/>
      <c r="F623" s="30" t="n"/>
      <c r="G623" s="32" t="n"/>
      <c r="H623" s="30" t="n"/>
    </row>
    <row r="624" ht="17" customHeight="1">
      <c r="A624" s="63" t="inlineStr">
        <is>
          <t>GENÇ ERKEKLER</t>
        </is>
      </c>
      <c r="B624" s="66" t="inlineStr">
        <is>
          <t>Grup 1</t>
        </is>
      </c>
      <c r="C624" s="65" t="n">
        <v>7</v>
      </c>
      <c r="D624" s="30" t="n"/>
      <c r="E624" s="30" t="n"/>
      <c r="F624" s="30" t="n"/>
      <c r="G624" s="32" t="n"/>
      <c r="H624" s="30" t="n"/>
    </row>
    <row r="625" ht="17" customHeight="1">
      <c r="A625" s="63" t="inlineStr">
        <is>
          <t>GENÇ ERKEKLER</t>
        </is>
      </c>
      <c r="B625" s="66" t="inlineStr">
        <is>
          <t>Grup 1</t>
        </is>
      </c>
      <c r="C625" s="65" t="n">
        <v>8</v>
      </c>
      <c r="D625" s="30" t="n"/>
      <c r="E625" s="30" t="n"/>
      <c r="F625" s="30" t="n"/>
      <c r="G625" s="32" t="n"/>
      <c r="H625" s="30" t="n"/>
    </row>
    <row r="626" ht="17" customHeight="1">
      <c r="A626" s="73" t="inlineStr">
        <is>
          <t>GENÇ ERKEKLER</t>
        </is>
      </c>
      <c r="B626" s="74" t="inlineStr">
        <is>
          <t>Grup 2</t>
        </is>
      </c>
      <c r="C626" s="75" t="n">
        <v>1</v>
      </c>
      <c r="D626" s="76" t="n"/>
      <c r="E626" s="76" t="n"/>
      <c r="F626" s="76" t="n"/>
      <c r="G626" s="77" t="n"/>
      <c r="H626" s="76" t="n"/>
    </row>
    <row r="627" ht="17" customHeight="1">
      <c r="A627" s="73" t="inlineStr">
        <is>
          <t>GENÇ ERKEKLER</t>
        </is>
      </c>
      <c r="B627" s="78" t="inlineStr">
        <is>
          <t>Grup 2</t>
        </is>
      </c>
      <c r="C627" s="75" t="n">
        <v>2</v>
      </c>
      <c r="D627" s="76" t="n"/>
      <c r="E627" s="76" t="n"/>
      <c r="F627" s="76" t="n"/>
      <c r="G627" s="77" t="n"/>
      <c r="H627" s="76" t="n"/>
    </row>
    <row r="628" ht="17" customHeight="1">
      <c r="A628" s="73" t="inlineStr">
        <is>
          <t>GENÇ ERKEKLER</t>
        </is>
      </c>
      <c r="B628" s="78" t="inlineStr">
        <is>
          <t>Grup 2</t>
        </is>
      </c>
      <c r="C628" s="75" t="n">
        <v>3</v>
      </c>
      <c r="D628" s="76" t="n"/>
      <c r="E628" s="76" t="n"/>
      <c r="F628" s="76" t="n"/>
      <c r="G628" s="77" t="n"/>
      <c r="H628" s="76" t="n"/>
    </row>
    <row r="629" ht="17" customHeight="1">
      <c r="A629" s="73" t="inlineStr">
        <is>
          <t>GENÇ ERKEKLER</t>
        </is>
      </c>
      <c r="B629" s="78" t="inlineStr">
        <is>
          <t>Grup 2</t>
        </is>
      </c>
      <c r="C629" s="75" t="n">
        <v>4</v>
      </c>
      <c r="D629" s="76" t="n"/>
      <c r="E629" s="76" t="n"/>
      <c r="F629" s="76" t="n"/>
      <c r="G629" s="77" t="n"/>
      <c r="H629" s="76" t="n"/>
    </row>
    <row r="630" ht="17" customHeight="1">
      <c r="A630" s="73" t="inlineStr">
        <is>
          <t>GENÇ ERKEKLER</t>
        </is>
      </c>
      <c r="B630" s="78" t="inlineStr">
        <is>
          <t>Grup 2</t>
        </is>
      </c>
      <c r="C630" s="75" t="n">
        <v>5</v>
      </c>
      <c r="D630" s="76" t="n"/>
      <c r="E630" s="76" t="n"/>
      <c r="F630" s="76" t="n"/>
      <c r="G630" s="77" t="n"/>
      <c r="H630" s="76" t="n"/>
    </row>
    <row r="631" ht="17" customHeight="1">
      <c r="A631" s="73" t="inlineStr">
        <is>
          <t>GENÇ ERKEKLER</t>
        </is>
      </c>
      <c r="B631" s="78" t="inlineStr">
        <is>
          <t>Grup 2</t>
        </is>
      </c>
      <c r="C631" s="75" t="n">
        <v>6</v>
      </c>
      <c r="D631" s="76" t="n"/>
      <c r="E631" s="76" t="n"/>
      <c r="F631" s="76" t="n"/>
      <c r="G631" s="77" t="n"/>
      <c r="H631" s="76" t="n"/>
    </row>
    <row r="632" ht="17" customHeight="1">
      <c r="A632" s="73" t="inlineStr">
        <is>
          <t>GENÇ ERKEKLER</t>
        </is>
      </c>
      <c r="B632" s="78" t="inlineStr">
        <is>
          <t>Grup 2</t>
        </is>
      </c>
      <c r="C632" s="75" t="n">
        <v>7</v>
      </c>
      <c r="D632" s="76" t="n"/>
      <c r="E632" s="76" t="n"/>
      <c r="F632" s="76" t="n"/>
      <c r="G632" s="77" t="n"/>
      <c r="H632" s="76" t="n"/>
    </row>
    <row r="633" ht="17" customHeight="1">
      <c r="A633" s="73" t="inlineStr">
        <is>
          <t>GENÇ ERKEKLER</t>
        </is>
      </c>
      <c r="B633" s="78" t="inlineStr">
        <is>
          <t>Grup 2</t>
        </is>
      </c>
      <c r="C633" s="75" t="n">
        <v>8</v>
      </c>
      <c r="D633" s="76" t="n"/>
      <c r="E633" s="76" t="n"/>
      <c r="F633" s="76" t="n"/>
      <c r="G633" s="77" t="n"/>
      <c r="H633" s="76" t="n"/>
    </row>
    <row r="634" ht="17" customHeight="1">
      <c r="A634" s="63" t="inlineStr">
        <is>
          <t>GENÇ ERKEKLER</t>
        </is>
      </c>
      <c r="B634" s="64" t="inlineStr">
        <is>
          <t>Grup 3</t>
        </is>
      </c>
      <c r="C634" s="65" t="n">
        <v>1</v>
      </c>
      <c r="D634" s="30" t="n"/>
      <c r="E634" s="30" t="n"/>
      <c r="F634" s="30" t="n"/>
      <c r="G634" s="32" t="n"/>
      <c r="H634" s="30" t="n"/>
    </row>
    <row r="635" ht="17" customHeight="1">
      <c r="A635" s="63" t="inlineStr">
        <is>
          <t>GENÇ ERKEKLER</t>
        </is>
      </c>
      <c r="B635" s="66" t="inlineStr">
        <is>
          <t>Grup 3</t>
        </is>
      </c>
      <c r="C635" s="65" t="n">
        <v>2</v>
      </c>
      <c r="D635" s="30" t="n"/>
      <c r="E635" s="30" t="n"/>
      <c r="F635" s="30" t="n"/>
      <c r="G635" s="32" t="n"/>
      <c r="H635" s="30" t="n"/>
    </row>
    <row r="636" ht="17" customHeight="1">
      <c r="A636" s="63" t="inlineStr">
        <is>
          <t>GENÇ ERKEKLER</t>
        </is>
      </c>
      <c r="B636" s="66" t="inlineStr">
        <is>
          <t>Grup 3</t>
        </is>
      </c>
      <c r="C636" s="65" t="n">
        <v>3</v>
      </c>
      <c r="D636" s="30" t="n"/>
      <c r="E636" s="30" t="n"/>
      <c r="F636" s="30" t="n"/>
      <c r="G636" s="32" t="n"/>
      <c r="H636" s="30" t="n"/>
    </row>
    <row r="637" ht="17" customHeight="1">
      <c r="A637" s="63" t="inlineStr">
        <is>
          <t>GENÇ ERKEKLER</t>
        </is>
      </c>
      <c r="B637" s="66" t="inlineStr">
        <is>
          <t>Grup 3</t>
        </is>
      </c>
      <c r="C637" s="65" t="n">
        <v>4</v>
      </c>
      <c r="D637" s="30" t="n"/>
      <c r="E637" s="30" t="n"/>
      <c r="F637" s="30" t="n"/>
      <c r="G637" s="32" t="n"/>
      <c r="H637" s="30" t="n"/>
    </row>
    <row r="638" ht="17" customHeight="1">
      <c r="A638" s="63" t="inlineStr">
        <is>
          <t>GENÇ ERKEKLER</t>
        </is>
      </c>
      <c r="B638" s="66" t="inlineStr">
        <is>
          <t>Grup 3</t>
        </is>
      </c>
      <c r="C638" s="65" t="n">
        <v>5</v>
      </c>
      <c r="D638" s="30" t="n"/>
      <c r="E638" s="30" t="n"/>
      <c r="F638" s="30" t="n"/>
      <c r="G638" s="32" t="n"/>
      <c r="H638" s="30" t="n"/>
    </row>
    <row r="639" ht="17" customHeight="1">
      <c r="A639" s="63" t="inlineStr">
        <is>
          <t>GENÇ ERKEKLER</t>
        </is>
      </c>
      <c r="B639" s="66" t="inlineStr">
        <is>
          <t>Grup 3</t>
        </is>
      </c>
      <c r="C639" s="65" t="n">
        <v>6</v>
      </c>
      <c r="D639" s="30" t="n"/>
      <c r="E639" s="30" t="n"/>
      <c r="F639" s="30" t="n"/>
      <c r="G639" s="32" t="n"/>
      <c r="H639" s="30" t="n"/>
    </row>
    <row r="640" ht="17" customHeight="1">
      <c r="A640" s="63" t="inlineStr">
        <is>
          <t>GENÇ ERKEKLER</t>
        </is>
      </c>
      <c r="B640" s="66" t="inlineStr">
        <is>
          <t>Grup 3</t>
        </is>
      </c>
      <c r="C640" s="65" t="n">
        <v>7</v>
      </c>
      <c r="D640" s="30" t="n"/>
      <c r="E640" s="30" t="n"/>
      <c r="F640" s="30" t="n"/>
      <c r="G640" s="32" t="n"/>
      <c r="H640" s="30" t="n"/>
    </row>
    <row r="641" ht="17" customHeight="1">
      <c r="A641" s="63" t="inlineStr">
        <is>
          <t>GENÇ ERKEKLER</t>
        </is>
      </c>
      <c r="B641" s="66" t="inlineStr">
        <is>
          <t>Grup 3</t>
        </is>
      </c>
      <c r="C641" s="65" t="n">
        <v>8</v>
      </c>
      <c r="D641" s="30" t="n"/>
      <c r="E641" s="30" t="n"/>
      <c r="F641" s="30" t="n"/>
      <c r="G641" s="32" t="n"/>
      <c r="H641" s="30" t="n"/>
    </row>
    <row r="642" ht="17" customHeight="1">
      <c r="A642" s="73" t="inlineStr">
        <is>
          <t>GENÇ ERKEKLER</t>
        </is>
      </c>
      <c r="B642" s="74" t="inlineStr">
        <is>
          <t>Grup 4</t>
        </is>
      </c>
      <c r="C642" s="75" t="n">
        <v>1</v>
      </c>
      <c r="D642" s="76" t="n"/>
      <c r="E642" s="76" t="n"/>
      <c r="F642" s="76" t="n"/>
      <c r="G642" s="77" t="n"/>
      <c r="H642" s="76" t="n"/>
    </row>
    <row r="643" ht="17" customHeight="1">
      <c r="A643" s="73" t="inlineStr">
        <is>
          <t>GENÇ ERKEKLER</t>
        </is>
      </c>
      <c r="B643" s="78" t="inlineStr">
        <is>
          <t>Grup 4</t>
        </is>
      </c>
      <c r="C643" s="75" t="n">
        <v>2</v>
      </c>
      <c r="D643" s="76" t="n"/>
      <c r="E643" s="76" t="n"/>
      <c r="F643" s="76" t="n"/>
      <c r="G643" s="77" t="n"/>
      <c r="H643" s="76" t="n"/>
    </row>
    <row r="644" ht="17" customHeight="1">
      <c r="A644" s="73" t="inlineStr">
        <is>
          <t>GENÇ ERKEKLER</t>
        </is>
      </c>
      <c r="B644" s="78" t="inlineStr">
        <is>
          <t>Grup 4</t>
        </is>
      </c>
      <c r="C644" s="75" t="n">
        <v>3</v>
      </c>
      <c r="D644" s="76" t="n"/>
      <c r="E644" s="76" t="n"/>
      <c r="F644" s="76" t="n"/>
      <c r="G644" s="77" t="n"/>
      <c r="H644" s="76" t="n"/>
    </row>
    <row r="645" ht="17" customHeight="1">
      <c r="A645" s="73" t="inlineStr">
        <is>
          <t>GENÇ ERKEKLER</t>
        </is>
      </c>
      <c r="B645" s="78" t="inlineStr">
        <is>
          <t>Grup 4</t>
        </is>
      </c>
      <c r="C645" s="75" t="n">
        <v>4</v>
      </c>
      <c r="D645" s="76" t="n"/>
      <c r="E645" s="76" t="n"/>
      <c r="F645" s="76" t="n"/>
      <c r="G645" s="77" t="n"/>
      <c r="H645" s="76" t="n"/>
    </row>
    <row r="646" ht="17" customHeight="1">
      <c r="A646" s="73" t="inlineStr">
        <is>
          <t>GENÇ ERKEKLER</t>
        </is>
      </c>
      <c r="B646" s="78" t="inlineStr">
        <is>
          <t>Grup 4</t>
        </is>
      </c>
      <c r="C646" s="75" t="n">
        <v>5</v>
      </c>
      <c r="D646" s="76" t="n"/>
      <c r="E646" s="76" t="n"/>
      <c r="F646" s="76" t="n"/>
      <c r="G646" s="77" t="n"/>
      <c r="H646" s="76" t="n"/>
    </row>
    <row r="647" ht="17" customHeight="1">
      <c r="A647" s="73" t="inlineStr">
        <is>
          <t>GENÇ ERKEKLER</t>
        </is>
      </c>
      <c r="B647" s="78" t="inlineStr">
        <is>
          <t>Grup 4</t>
        </is>
      </c>
      <c r="C647" s="75" t="n">
        <v>6</v>
      </c>
      <c r="D647" s="76" t="n"/>
      <c r="E647" s="76" t="n"/>
      <c r="F647" s="76" t="n"/>
      <c r="G647" s="77" t="n"/>
      <c r="H647" s="76" t="n"/>
    </row>
    <row r="648" ht="17" customHeight="1">
      <c r="A648" s="73" t="inlineStr">
        <is>
          <t>GENÇ ERKEKLER</t>
        </is>
      </c>
      <c r="B648" s="78" t="inlineStr">
        <is>
          <t>Grup 4</t>
        </is>
      </c>
      <c r="C648" s="75" t="n">
        <v>7</v>
      </c>
      <c r="D648" s="76" t="n"/>
      <c r="E648" s="76" t="n"/>
      <c r="F648" s="76" t="n"/>
      <c r="G648" s="77" t="n"/>
      <c r="H648" s="76" t="n"/>
    </row>
    <row r="649" ht="17" customHeight="1">
      <c r="A649" s="73" t="inlineStr">
        <is>
          <t>GENÇ ERKEKLER</t>
        </is>
      </c>
      <c r="B649" s="78" t="inlineStr">
        <is>
          <t>Grup 4</t>
        </is>
      </c>
      <c r="C649" s="75" t="n">
        <v>8</v>
      </c>
      <c r="D649" s="76" t="n"/>
      <c r="E649" s="76" t="n"/>
      <c r="F649" s="76" t="n"/>
      <c r="G649" s="77" t="n"/>
      <c r="H649" s="76" t="n"/>
    </row>
    <row r="650" ht="17" customHeight="1">
      <c r="A650" s="63" t="inlineStr">
        <is>
          <t>GENÇ ERKEKLER</t>
        </is>
      </c>
      <c r="B650" s="64" t="inlineStr">
        <is>
          <t>Grup 5</t>
        </is>
      </c>
      <c r="C650" s="65" t="n">
        <v>1</v>
      </c>
      <c r="D650" s="30" t="n"/>
      <c r="E650" s="30" t="n"/>
      <c r="F650" s="30" t="n"/>
      <c r="G650" s="32" t="n"/>
      <c r="H650" s="30" t="n"/>
    </row>
    <row r="651" ht="17" customHeight="1">
      <c r="A651" s="63" t="inlineStr">
        <is>
          <t>GENÇ ERKEKLER</t>
        </is>
      </c>
      <c r="B651" s="66" t="inlineStr">
        <is>
          <t>Grup 5</t>
        </is>
      </c>
      <c r="C651" s="65" t="n">
        <v>2</v>
      </c>
      <c r="D651" s="30" t="n"/>
      <c r="E651" s="30" t="n"/>
      <c r="F651" s="30" t="n"/>
      <c r="G651" s="32" t="n"/>
      <c r="H651" s="30" t="n"/>
    </row>
    <row r="652" ht="17" customHeight="1">
      <c r="A652" s="63" t="inlineStr">
        <is>
          <t>GENÇ ERKEKLER</t>
        </is>
      </c>
      <c r="B652" s="66" t="inlineStr">
        <is>
          <t>Grup 5</t>
        </is>
      </c>
      <c r="C652" s="65" t="n">
        <v>3</v>
      </c>
      <c r="D652" s="30" t="n"/>
      <c r="E652" s="30" t="n"/>
      <c r="F652" s="30" t="n"/>
      <c r="G652" s="32" t="n"/>
      <c r="H652" s="30" t="n"/>
    </row>
    <row r="653" ht="17" customHeight="1">
      <c r="A653" s="63" t="inlineStr">
        <is>
          <t>GENÇ ERKEKLER</t>
        </is>
      </c>
      <c r="B653" s="66" t="inlineStr">
        <is>
          <t>Grup 5</t>
        </is>
      </c>
      <c r="C653" s="65" t="n">
        <v>4</v>
      </c>
      <c r="D653" s="30" t="n"/>
      <c r="E653" s="30" t="n"/>
      <c r="F653" s="30" t="n"/>
      <c r="G653" s="32" t="n"/>
      <c r="H653" s="30" t="n"/>
    </row>
    <row r="654" ht="17" customHeight="1">
      <c r="A654" s="63" t="inlineStr">
        <is>
          <t>GENÇ ERKEKLER</t>
        </is>
      </c>
      <c r="B654" s="66" t="inlineStr">
        <is>
          <t>Grup 5</t>
        </is>
      </c>
      <c r="C654" s="65" t="n">
        <v>5</v>
      </c>
      <c r="D654" s="30" t="n"/>
      <c r="E654" s="30" t="n"/>
      <c r="F654" s="30" t="n"/>
      <c r="G654" s="32" t="n"/>
      <c r="H654" s="30" t="n"/>
    </row>
    <row r="655" ht="17" customHeight="1">
      <c r="A655" s="63" t="inlineStr">
        <is>
          <t>GENÇ ERKEKLER</t>
        </is>
      </c>
      <c r="B655" s="66" t="inlineStr">
        <is>
          <t>Grup 5</t>
        </is>
      </c>
      <c r="C655" s="65" t="n">
        <v>6</v>
      </c>
      <c r="D655" s="30" t="n"/>
      <c r="E655" s="30" t="n"/>
      <c r="F655" s="30" t="n"/>
      <c r="G655" s="32" t="n"/>
      <c r="H655" s="30" t="n"/>
    </row>
    <row r="656" ht="17" customHeight="1">
      <c r="A656" s="63" t="inlineStr">
        <is>
          <t>GENÇ ERKEKLER</t>
        </is>
      </c>
      <c r="B656" s="66" t="inlineStr">
        <is>
          <t>Grup 5</t>
        </is>
      </c>
      <c r="C656" s="65" t="n">
        <v>7</v>
      </c>
      <c r="D656" s="30" t="n"/>
      <c r="E656" s="30" t="n"/>
      <c r="F656" s="30" t="n"/>
      <c r="G656" s="32" t="n"/>
      <c r="H656" s="30" t="n"/>
    </row>
    <row r="657" ht="17" customHeight="1">
      <c r="A657" s="63" t="inlineStr">
        <is>
          <t>GENÇ ERKEKLER</t>
        </is>
      </c>
      <c r="B657" s="66" t="inlineStr">
        <is>
          <t>Grup 5</t>
        </is>
      </c>
      <c r="C657" s="65" t="n">
        <v>8</v>
      </c>
      <c r="D657" s="30" t="n"/>
      <c r="E657" s="30" t="n"/>
      <c r="F657" s="30" t="n"/>
      <c r="G657" s="32" t="n"/>
      <c r="H657" s="30" t="n"/>
    </row>
    <row r="658" ht="17" customHeight="1">
      <c r="A658" s="73" t="inlineStr">
        <is>
          <t>GENÇ ERKEKLER</t>
        </is>
      </c>
      <c r="B658" s="74" t="inlineStr">
        <is>
          <t>Grup 6</t>
        </is>
      </c>
      <c r="C658" s="75" t="n">
        <v>1</v>
      </c>
      <c r="D658" s="76" t="n"/>
      <c r="E658" s="76" t="n"/>
      <c r="F658" s="76" t="n"/>
      <c r="G658" s="77" t="n"/>
      <c r="H658" s="76" t="n"/>
    </row>
    <row r="659" ht="17" customHeight="1">
      <c r="A659" s="73" t="inlineStr">
        <is>
          <t>GENÇ ERKEKLER</t>
        </is>
      </c>
      <c r="B659" s="78" t="inlineStr">
        <is>
          <t>Grup 6</t>
        </is>
      </c>
      <c r="C659" s="75" t="n">
        <v>2</v>
      </c>
      <c r="D659" s="76" t="n"/>
      <c r="E659" s="76" t="n"/>
      <c r="F659" s="76" t="n"/>
      <c r="G659" s="77" t="n"/>
      <c r="H659" s="76" t="n"/>
    </row>
    <row r="660" ht="17" customHeight="1">
      <c r="A660" s="73" t="inlineStr">
        <is>
          <t>GENÇ ERKEKLER</t>
        </is>
      </c>
      <c r="B660" s="78" t="inlineStr">
        <is>
          <t>Grup 6</t>
        </is>
      </c>
      <c r="C660" s="75" t="n">
        <v>3</v>
      </c>
      <c r="D660" s="76" t="n"/>
      <c r="E660" s="76" t="n"/>
      <c r="F660" s="76" t="n"/>
      <c r="G660" s="77" t="n"/>
      <c r="H660" s="76" t="n"/>
    </row>
    <row r="661" ht="17" customHeight="1">
      <c r="A661" s="73" t="inlineStr">
        <is>
          <t>GENÇ ERKEKLER</t>
        </is>
      </c>
      <c r="B661" s="78" t="inlineStr">
        <is>
          <t>Grup 6</t>
        </is>
      </c>
      <c r="C661" s="75" t="n">
        <v>4</v>
      </c>
      <c r="D661" s="76" t="n"/>
      <c r="E661" s="76" t="n"/>
      <c r="F661" s="76" t="n"/>
      <c r="G661" s="77" t="n"/>
      <c r="H661" s="76" t="n"/>
    </row>
    <row r="662" ht="17" customHeight="1">
      <c r="A662" s="73" t="inlineStr">
        <is>
          <t>GENÇ ERKEKLER</t>
        </is>
      </c>
      <c r="B662" s="78" t="inlineStr">
        <is>
          <t>Grup 6</t>
        </is>
      </c>
      <c r="C662" s="75" t="n">
        <v>5</v>
      </c>
      <c r="D662" s="76" t="n"/>
      <c r="E662" s="76" t="n"/>
      <c r="F662" s="76" t="n"/>
      <c r="G662" s="77" t="n"/>
      <c r="H662" s="76" t="n"/>
    </row>
    <row r="663" ht="17" customHeight="1">
      <c r="A663" s="73" t="inlineStr">
        <is>
          <t>GENÇ ERKEKLER</t>
        </is>
      </c>
      <c r="B663" s="78" t="inlineStr">
        <is>
          <t>Grup 6</t>
        </is>
      </c>
      <c r="C663" s="75" t="n">
        <v>6</v>
      </c>
      <c r="D663" s="76" t="n"/>
      <c r="E663" s="76" t="n"/>
      <c r="F663" s="76" t="n"/>
      <c r="G663" s="77" t="n"/>
      <c r="H663" s="76" t="n"/>
    </row>
    <row r="664" ht="17" customHeight="1">
      <c r="A664" s="73" t="inlineStr">
        <is>
          <t>GENÇ ERKEKLER</t>
        </is>
      </c>
      <c r="B664" s="78" t="inlineStr">
        <is>
          <t>Grup 6</t>
        </is>
      </c>
      <c r="C664" s="75" t="n">
        <v>7</v>
      </c>
      <c r="D664" s="76" t="n"/>
      <c r="E664" s="76" t="n"/>
      <c r="F664" s="76" t="n"/>
      <c r="G664" s="77" t="n"/>
      <c r="H664" s="76" t="n"/>
    </row>
    <row r="665" ht="17" customHeight="1">
      <c r="A665" s="73" t="inlineStr">
        <is>
          <t>GENÇ ERKEKLER</t>
        </is>
      </c>
      <c r="B665" s="78" t="inlineStr">
        <is>
          <t>Grup 6</t>
        </is>
      </c>
      <c r="C665" s="75" t="n">
        <v>8</v>
      </c>
      <c r="D665" s="76" t="n"/>
      <c r="E665" s="76" t="n"/>
      <c r="F665" s="76" t="n"/>
      <c r="G665" s="77" t="n"/>
      <c r="H665" s="76" t="n"/>
    </row>
    <row r="666" ht="17" customHeight="1">
      <c r="A666" s="63" t="inlineStr">
        <is>
          <t>GENÇ ERKEKLER</t>
        </is>
      </c>
      <c r="B666" s="64" t="inlineStr">
        <is>
          <t>Grup 7</t>
        </is>
      </c>
      <c r="C666" s="65" t="n">
        <v>1</v>
      </c>
      <c r="D666" s="30" t="n"/>
      <c r="E666" s="30" t="n"/>
      <c r="F666" s="30" t="n"/>
      <c r="G666" s="32" t="n"/>
      <c r="H666" s="30" t="n"/>
    </row>
    <row r="667" ht="17" customHeight="1">
      <c r="A667" s="63" t="inlineStr">
        <is>
          <t>GENÇ ERKEKLER</t>
        </is>
      </c>
      <c r="B667" s="66" t="inlineStr">
        <is>
          <t>Grup 7</t>
        </is>
      </c>
      <c r="C667" s="65" t="n">
        <v>2</v>
      </c>
      <c r="D667" s="30" t="n"/>
      <c r="E667" s="30" t="n"/>
      <c r="F667" s="30" t="n"/>
      <c r="G667" s="32" t="n"/>
      <c r="H667" s="30" t="n"/>
    </row>
    <row r="668" ht="17" customHeight="1">
      <c r="A668" s="63" t="inlineStr">
        <is>
          <t>GENÇ ERKEKLER</t>
        </is>
      </c>
      <c r="B668" s="66" t="inlineStr">
        <is>
          <t>Grup 7</t>
        </is>
      </c>
      <c r="C668" s="65" t="n">
        <v>3</v>
      </c>
      <c r="D668" s="30" t="n"/>
      <c r="E668" s="30" t="n"/>
      <c r="F668" s="30" t="n"/>
      <c r="G668" s="32" t="n"/>
      <c r="H668" s="30" t="n"/>
    </row>
    <row r="669" ht="17" customHeight="1">
      <c r="A669" s="63" t="inlineStr">
        <is>
          <t>GENÇ ERKEKLER</t>
        </is>
      </c>
      <c r="B669" s="66" t="inlineStr">
        <is>
          <t>Grup 7</t>
        </is>
      </c>
      <c r="C669" s="65" t="n">
        <v>4</v>
      </c>
      <c r="D669" s="30" t="n"/>
      <c r="E669" s="30" t="n"/>
      <c r="F669" s="30" t="n"/>
      <c r="G669" s="32" t="n"/>
      <c r="H669" s="30" t="n"/>
    </row>
    <row r="670" ht="17" customHeight="1">
      <c r="A670" s="63" t="inlineStr">
        <is>
          <t>GENÇ ERKEKLER</t>
        </is>
      </c>
      <c r="B670" s="66" t="inlineStr">
        <is>
          <t>Grup 7</t>
        </is>
      </c>
      <c r="C670" s="65" t="n">
        <v>5</v>
      </c>
      <c r="D670" s="30" t="n"/>
      <c r="E670" s="30" t="n"/>
      <c r="F670" s="30" t="n"/>
      <c r="G670" s="32" t="n"/>
      <c r="H670" s="30" t="n"/>
    </row>
    <row r="671" ht="17" customHeight="1">
      <c r="A671" s="63" t="inlineStr">
        <is>
          <t>GENÇ ERKEKLER</t>
        </is>
      </c>
      <c r="B671" s="66" t="inlineStr">
        <is>
          <t>Grup 7</t>
        </is>
      </c>
      <c r="C671" s="65" t="n">
        <v>6</v>
      </c>
      <c r="D671" s="30" t="n"/>
      <c r="E671" s="30" t="n"/>
      <c r="F671" s="30" t="n"/>
      <c r="G671" s="32" t="n"/>
      <c r="H671" s="30" t="n"/>
    </row>
    <row r="672" ht="17" customHeight="1">
      <c r="A672" s="63" t="inlineStr">
        <is>
          <t>GENÇ ERKEKLER</t>
        </is>
      </c>
      <c r="B672" s="66" t="inlineStr">
        <is>
          <t>Grup 7</t>
        </is>
      </c>
      <c r="C672" s="65" t="n">
        <v>7</v>
      </c>
      <c r="D672" s="30" t="n"/>
      <c r="E672" s="30" t="n"/>
      <c r="F672" s="30" t="n"/>
      <c r="G672" s="32" t="n"/>
      <c r="H672" s="30" t="n"/>
    </row>
    <row r="673" ht="17" customHeight="1">
      <c r="A673" s="63" t="inlineStr">
        <is>
          <t>GENÇ ERKEKLER</t>
        </is>
      </c>
      <c r="B673" s="66" t="inlineStr">
        <is>
          <t>Grup 7</t>
        </is>
      </c>
      <c r="C673" s="65" t="n">
        <v>8</v>
      </c>
      <c r="D673" s="30" t="n"/>
      <c r="E673" s="30" t="n"/>
      <c r="F673" s="30" t="n"/>
      <c r="G673" s="32" t="n"/>
      <c r="H673" s="30" t="n"/>
    </row>
    <row r="674" ht="17" customHeight="1">
      <c r="A674" s="73" t="inlineStr">
        <is>
          <t>GENÇ ERKEKLER</t>
        </is>
      </c>
      <c r="B674" s="74" t="inlineStr">
        <is>
          <t>Grup 8</t>
        </is>
      </c>
      <c r="C674" s="75" t="n">
        <v>1</v>
      </c>
      <c r="D674" s="76" t="n"/>
      <c r="E674" s="76" t="n"/>
      <c r="F674" s="76" t="n"/>
      <c r="G674" s="77" t="n"/>
      <c r="H674" s="76" t="n"/>
    </row>
    <row r="675" ht="17" customHeight="1">
      <c r="A675" s="73" t="inlineStr">
        <is>
          <t>GENÇ ERKEKLER</t>
        </is>
      </c>
      <c r="B675" s="78" t="inlineStr">
        <is>
          <t>Grup 8</t>
        </is>
      </c>
      <c r="C675" s="75" t="n">
        <v>2</v>
      </c>
      <c r="D675" s="76" t="n"/>
      <c r="E675" s="76" t="n"/>
      <c r="F675" s="76" t="n"/>
      <c r="G675" s="77" t="n"/>
      <c r="H675" s="76" t="n"/>
    </row>
    <row r="676" ht="17" customHeight="1">
      <c r="A676" s="73" t="inlineStr">
        <is>
          <t>GENÇ ERKEKLER</t>
        </is>
      </c>
      <c r="B676" s="78" t="inlineStr">
        <is>
          <t>Grup 8</t>
        </is>
      </c>
      <c r="C676" s="75" t="n">
        <v>3</v>
      </c>
      <c r="D676" s="76" t="n"/>
      <c r="E676" s="76" t="n"/>
      <c r="F676" s="76" t="n"/>
      <c r="G676" s="77" t="n"/>
      <c r="H676" s="76" t="n"/>
    </row>
    <row r="677" ht="17" customHeight="1">
      <c r="A677" s="73" t="inlineStr">
        <is>
          <t>GENÇ ERKEKLER</t>
        </is>
      </c>
      <c r="B677" s="78" t="inlineStr">
        <is>
          <t>Grup 8</t>
        </is>
      </c>
      <c r="C677" s="75" t="n">
        <v>4</v>
      </c>
      <c r="D677" s="76" t="n"/>
      <c r="E677" s="76" t="n"/>
      <c r="F677" s="76" t="n"/>
      <c r="G677" s="77" t="n"/>
      <c r="H677" s="76" t="n"/>
    </row>
    <row r="678" ht="17" customHeight="1">
      <c r="A678" s="73" t="inlineStr">
        <is>
          <t>GENÇ ERKEKLER</t>
        </is>
      </c>
      <c r="B678" s="78" t="inlineStr">
        <is>
          <t>Grup 8</t>
        </is>
      </c>
      <c r="C678" s="75" t="n">
        <v>5</v>
      </c>
      <c r="D678" s="76" t="n"/>
      <c r="E678" s="76" t="n"/>
      <c r="F678" s="76" t="n"/>
      <c r="G678" s="77" t="n"/>
      <c r="H678" s="76" t="n"/>
    </row>
    <row r="679" ht="17" customHeight="1">
      <c r="A679" s="73" t="inlineStr">
        <is>
          <t>GENÇ ERKEKLER</t>
        </is>
      </c>
      <c r="B679" s="78" t="inlineStr">
        <is>
          <t>Grup 8</t>
        </is>
      </c>
      <c r="C679" s="75" t="n">
        <v>6</v>
      </c>
      <c r="D679" s="76" t="n"/>
      <c r="E679" s="76" t="n"/>
      <c r="F679" s="76" t="n"/>
      <c r="G679" s="77" t="n"/>
      <c r="H679" s="76" t="n"/>
    </row>
    <row r="680" ht="17" customHeight="1">
      <c r="A680" s="73" t="inlineStr">
        <is>
          <t>GENÇ ERKEKLER</t>
        </is>
      </c>
      <c r="B680" s="78" t="inlineStr">
        <is>
          <t>Grup 8</t>
        </is>
      </c>
      <c r="C680" s="75" t="n">
        <v>7</v>
      </c>
      <c r="D680" s="76" t="n"/>
      <c r="E680" s="76" t="n"/>
      <c r="F680" s="76" t="n"/>
      <c r="G680" s="77" t="n"/>
      <c r="H680" s="76" t="n"/>
    </row>
    <row r="681" ht="17" customHeight="1">
      <c r="A681" s="73" t="inlineStr">
        <is>
          <t>GENÇ ERKEKLER</t>
        </is>
      </c>
      <c r="B681" s="78" t="inlineStr">
        <is>
          <t>Grup 8</t>
        </is>
      </c>
      <c r="C681" s="75" t="n">
        <v>8</v>
      </c>
      <c r="D681" s="76" t="n"/>
      <c r="E681" s="76" t="n"/>
      <c r="F681" s="76" t="n"/>
      <c r="G681" s="77" t="n"/>
      <c r="H681" s="76" t="n"/>
    </row>
  </sheetData>
  <mergeCells count="12">
    <mergeCell ref="A4:H4"/>
    <mergeCell ref="A276:H276"/>
    <mergeCell ref="A140:H140"/>
    <mergeCell ref="A548:H548"/>
    <mergeCell ref="A412:H412"/>
    <mergeCell ref="A616:H616"/>
    <mergeCell ref="A2:H2"/>
    <mergeCell ref="A72:H72"/>
    <mergeCell ref="A344:H344"/>
    <mergeCell ref="A1:H1"/>
    <mergeCell ref="A208:H208"/>
    <mergeCell ref="A480:H480"/>
  </mergeCells>
  <dataValidations count="1">
    <dataValidation sqref="G6 G7 G8 G9 G10 G11 G12 G13 G14 G15 G16 G17 G18 G19 G20 G21 G22 G23 G24 G25 G26 G27 G28 G29 G30 G31 G32 G33 G34 G35 G36 G37 G38 G39 G40 G41 G42 G43 G44 G45 G46 G47 G48 G49 G50 G51 G52 G53 G54 G55 G56 G57 G58 G59 G60 G61 G62 G63 G64 G65 G66 G67 G68 G69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showDropDown="0" showInputMessage="0" showErrorMessage="0" allowBlank="1" type="list">
      <formula1>"Bireysel,Takım"</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2026-04-11T11:01:54Z</dcterms:created>
  <dcterms:modified xmlns:dcterms="http://purl.org/dc/terms/" xmlns:xsi="http://www.w3.org/2001/XMLSchema-instance" xsi:type="dcterms:W3CDTF">2026-04-11T11:01:55Z</dcterms:modified>
</cp:coreProperties>
</file>